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type Profiles" sheetId="1" state="visible" r:id="rId1"/>
    <sheet xmlns:r="http://schemas.openxmlformats.org/officeDocument/2006/relationships" name="Trait Dimension Theory" sheetId="2" state="visible" r:id="rId2"/>
    <sheet xmlns:r="http://schemas.openxmlformats.org/officeDocument/2006/relationships" name="Q7-Q12 Direct Weights" sheetId="3" state="visible" r:id="rId3"/>
    <sheet xmlns:r="http://schemas.openxmlformats.org/officeDocument/2006/relationships" name="Score Simulator" sheetId="4" state="visible" r:id="rId4"/>
    <sheet xmlns:r="http://schemas.openxmlformats.org/officeDocument/2006/relationships" name="Dal Programs by Arche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4B0082"/>
      <sz val="10"/>
    </font>
    <font>
      <name val="Arial"/>
      <color rgb="00BFBFBF"/>
      <sz val="10"/>
    </font>
    <font>
      <name val="Arial"/>
      <b val="1"/>
      <color rgb="001E5E1E"/>
      <sz val="10"/>
    </font>
    <font>
      <name val="Arial"/>
      <b val="1"/>
      <color rgb="000B3D6B"/>
      <sz val="10"/>
    </font>
    <font>
      <name val="Arial"/>
      <b val="1"/>
      <color rgb="007F3F00"/>
      <sz val="10"/>
    </font>
    <font>
      <name val="Arial"/>
      <b val="1"/>
      <color rgb="00245C00"/>
      <sz val="10"/>
    </font>
    <font>
      <name val="Arial"/>
      <b val="1"/>
      <color rgb="00660000"/>
      <sz val="10"/>
    </font>
    <font>
      <name val="Arial"/>
      <b val="1"/>
      <color rgb="00990000"/>
      <sz val="10"/>
    </font>
    <font>
      <name val="Arial"/>
      <b val="1"/>
      <color rgb="007F6000"/>
      <sz val="10"/>
    </font>
    <font>
      <name val="Arial"/>
      <color rgb="004B0082"/>
      <sz val="10"/>
    </font>
    <font>
      <name val="Arial"/>
      <color rgb="001E5E1E"/>
      <sz val="10"/>
    </font>
    <font>
      <name val="Arial"/>
      <color rgb="000B3D6B"/>
      <sz val="10"/>
    </font>
    <font>
      <name val="Arial"/>
      <color rgb="007F3F00"/>
      <sz val="10"/>
    </font>
    <font>
      <name val="Arial"/>
      <color rgb="00245C00"/>
      <sz val="10"/>
    </font>
    <font>
      <name val="Arial"/>
      <color rgb="007F6000"/>
      <sz val="10"/>
    </font>
    <font>
      <name val="Arial"/>
      <color rgb="00660000"/>
      <sz val="10"/>
    </font>
    <font>
      <name val="Arial"/>
      <color rgb="00990000"/>
      <sz val="10"/>
    </font>
    <font>
      <name val="Arial"/>
      <b val="1"/>
      <color rgb="00FFFFFF"/>
      <sz val="12"/>
    </font>
    <font>
      <name val="Arial"/>
      <color rgb="00595959"/>
      <sz val="10"/>
    </font>
    <font>
      <name val="Arial"/>
      <i val="1"/>
      <color rgb="00595959"/>
      <sz val="9"/>
    </font>
    <font>
      <name val="Arial"/>
      <color rgb="001155CC"/>
      <sz val="9"/>
      <u val="single"/>
    </font>
    <font>
      <name val="Arial"/>
      <color rgb="00595959"/>
      <sz val="9"/>
    </font>
    <font>
      <name val="Arial"/>
      <b val="1"/>
      <color rgb="001F3864"/>
      <sz val="10"/>
    </font>
    <font>
      <name val="Arial"/>
      <color rgb="001F3864"/>
      <sz val="10"/>
    </font>
    <font>
      <name val="Arial"/>
      <b val="1"/>
      <color rgb="004A235A"/>
      <sz val="10"/>
    </font>
    <font>
      <name val="Arial"/>
      <color rgb="004A235A"/>
      <sz val="10"/>
    </font>
    <font>
      <name val="Arial"/>
      <color rgb="000B3D6B"/>
      <sz val="9"/>
    </font>
    <font>
      <name val="Arial"/>
      <color rgb="004A235A"/>
      <sz val="9"/>
    </font>
    <font>
      <name val="Arial"/>
      <color rgb="007F3F00"/>
      <sz val="9"/>
    </font>
    <font>
      <name val="Arial"/>
      <color rgb="00245C00"/>
      <sz val="9"/>
    </font>
    <font>
      <name val="Arial"/>
      <color rgb="007F6000"/>
      <sz val="9"/>
    </font>
    <font>
      <name val="Arial"/>
      <color rgb="001E5E1E"/>
      <sz val="9"/>
    </font>
    <font>
      <name val="Arial"/>
      <color rgb="00660000"/>
      <sz val="9"/>
    </font>
    <font>
      <name val="Arial"/>
      <color rgb="001F3864"/>
      <sz val="9"/>
    </font>
    <font>
      <name val="Arial"/>
      <b val="1"/>
      <color rgb="00000000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DDDDDD"/>
      <sz val="10"/>
    </font>
    <font>
      <name val="Arial"/>
      <color rgb="00444444"/>
      <sz val="10"/>
    </font>
    <font>
      <name val="Arial"/>
      <color rgb="00AAAAAA"/>
      <sz val="10"/>
    </font>
    <font>
      <name val="Arial"/>
      <color rgb="00444444"/>
      <sz val="8"/>
    </font>
    <font>
      <name val="Arial"/>
      <color rgb="00000000"/>
      <sz val="9"/>
    </font>
    <font>
      <name val="Arial"/>
      <color rgb="00555555"/>
      <sz val="10"/>
    </font>
    <font>
      <name val="Arial"/>
      <color rgb="00444444"/>
      <sz val="9"/>
    </font>
    <font>
      <name val="Arial"/>
      <color rgb="00CCCCCC"/>
      <sz val="9"/>
    </font>
    <font>
      <name val="Arial"/>
      <b val="1"/>
      <color rgb="007F6000"/>
      <sz val="12"/>
    </font>
    <font>
      <name val="Arial"/>
      <b val="1"/>
      <color rgb="000B3D6B"/>
      <sz val="9"/>
    </font>
    <font>
      <name val="Arial"/>
      <color rgb="00666666"/>
      <sz val="10"/>
    </font>
    <font>
      <name val="Courier New"/>
      <color rgb="000B3D6B"/>
      <sz val="9"/>
    </font>
    <font>
      <name val="Arial"/>
      <b val="1"/>
      <color rgb="004A235A"/>
      <sz val="9"/>
    </font>
    <font>
      <name val="Courier New"/>
      <color rgb="004A235A"/>
      <sz val="9"/>
    </font>
    <font>
      <name val="Arial"/>
      <b val="1"/>
      <color rgb="007F3F00"/>
      <sz val="9"/>
    </font>
    <font>
      <name val="Courier New"/>
      <color rgb="007F3F00"/>
      <sz val="9"/>
    </font>
    <font>
      <name val="Arial"/>
      <b val="1"/>
      <color rgb="00245C00"/>
      <sz val="9"/>
    </font>
    <font>
      <name val="Courier New"/>
      <color rgb="00245C00"/>
      <sz val="9"/>
    </font>
    <font>
      <name val="Arial"/>
      <b val="1"/>
      <color rgb="007F6000"/>
      <sz val="9"/>
    </font>
    <font>
      <name val="Courier New"/>
      <color rgb="007F6000"/>
      <sz val="9"/>
    </font>
    <font>
      <name val="Arial"/>
      <b val="1"/>
      <color rgb="001E5E1E"/>
      <sz val="9"/>
    </font>
    <font>
      <name val="Courier New"/>
      <color rgb="001E5E1E"/>
      <sz val="9"/>
    </font>
    <font>
      <name val="Arial"/>
      <b val="1"/>
      <color rgb="00660000"/>
      <sz val="9"/>
    </font>
    <font>
      <name val="Courier New"/>
      <color rgb="00660000"/>
      <sz val="9"/>
    </font>
    <font>
      <name val="Arial"/>
      <b val="1"/>
      <color rgb="001F3864"/>
      <sz val="9"/>
    </font>
    <font>
      <name val="Courier New"/>
      <color rgb="001F3864"/>
      <sz val="9"/>
    </font>
    <font>
      <name val="Arial"/>
      <b val="1"/>
      <color rgb="00000000"/>
      <sz val="12"/>
    </font>
    <font>
      <name val="Arial"/>
      <b val="1"/>
      <color rgb="001F5C1F"/>
      <sz val="10"/>
    </font>
    <font>
      <name val="Arial"/>
      <b val="1"/>
      <color rgb="00888888"/>
      <sz val="10"/>
    </font>
    <font>
      <name val="Arial"/>
      <i val="1"/>
      <color rgb="00444444"/>
      <sz val="9"/>
    </font>
    <font>
      <name val="Arial"/>
      <color rgb="00AAAAAA"/>
      <sz val="8"/>
    </font>
    <font>
      <name val="Arial"/>
      <color rgb="00333333"/>
      <sz val="9"/>
    </font>
    <font>
      <name val="Arial"/>
      <b val="1"/>
      <color rgb="007F6000"/>
      <sz val="13"/>
    </font>
    <font>
      <name val="Arial"/>
      <color rgb="00666666"/>
      <sz val="9"/>
    </font>
    <font>
      <name val="Arial"/>
      <color rgb="00888888"/>
      <sz val="7"/>
    </font>
    <font>
      <name val="Arial"/>
      <b val="1"/>
      <color rgb="007F6000"/>
      <sz val="8"/>
    </font>
    <font>
      <name val="Arial"/>
      <b val="1"/>
      <color rgb="007F3F00"/>
      <sz val="8"/>
    </font>
    <font>
      <name val="Arial"/>
      <b val="1"/>
      <color rgb="00245C00"/>
      <sz val="8"/>
    </font>
    <font>
      <name val="Arial"/>
      <b val="1"/>
      <color rgb="001F3864"/>
      <sz val="8"/>
    </font>
    <font>
      <name val="Arial"/>
      <b val="1"/>
      <color rgb="00660000"/>
      <sz val="8"/>
    </font>
    <font>
      <name val="Arial"/>
      <b val="1"/>
      <color rgb="004A235A"/>
      <sz val="8"/>
    </font>
    <font>
      <name val="Arial"/>
      <b val="1"/>
      <color rgb="000B3D6B"/>
      <sz val="8"/>
    </font>
    <font>
      <name val="Arial"/>
      <b val="1"/>
      <color rgb="001E5E1E"/>
      <sz val="8"/>
    </font>
    <font>
      <name val="Arial"/>
      <color rgb="00CCCCCC"/>
      <sz val="10"/>
    </font>
    <font>
      <name val="Arial"/>
      <color rgb="00CCCCCC"/>
      <sz val="8"/>
    </font>
    <font>
      <name val="Arial"/>
      <color rgb="00FFFFFF"/>
      <sz val="8"/>
    </font>
    <font>
      <name val="Arial"/>
      <b val="1"/>
      <color rgb="002D5016"/>
      <sz val="9"/>
    </font>
    <font>
      <name val="Arial"/>
      <b val="1"/>
      <color rgb="001C3A6B"/>
      <sz val="9"/>
    </font>
    <font>
      <name val="Arial"/>
      <b val="1"/>
      <color rgb="005B1040"/>
      <sz val="9"/>
    </font>
    <font>
      <name val="Arial"/>
      <b val="1"/>
      <color rgb="00FFFFFF"/>
      <sz val="8"/>
    </font>
    <font>
      <name val="Arial"/>
      <color rgb="001E5E1E"/>
      <sz val="8"/>
    </font>
    <font>
      <name val="Arial"/>
      <color rgb="007F3F00"/>
      <sz val="8"/>
    </font>
    <font>
      <name val="Arial"/>
      <color rgb="000B3D6B"/>
      <sz val="8"/>
    </font>
    <font>
      <name val="Arial"/>
      <color rgb="004A235A"/>
      <sz val="8"/>
    </font>
    <font>
      <name val="Arial"/>
      <color rgb="002D5016"/>
      <sz val="8"/>
    </font>
    <font>
      <name val="Arial"/>
      <color rgb="001C3A6B"/>
      <sz val="8"/>
    </font>
    <font>
      <name val="Arial"/>
      <color rgb="00660000"/>
      <sz val="8"/>
    </font>
    <font>
      <name val="Arial"/>
      <color rgb="007F6000"/>
      <sz val="8"/>
    </font>
    <font>
      <name val="Arial"/>
      <color rgb="001F3864"/>
      <sz val="8"/>
    </font>
    <font>
      <name val="Arial"/>
      <color rgb="005B1040"/>
      <sz val="8"/>
    </font>
    <font>
      <name val="Arial"/>
      <b val="1"/>
      <color rgb="005B1040"/>
      <sz val="10"/>
    </font>
    <font>
      <name val="Arial"/>
      <color rgb="00245C00"/>
      <sz val="8"/>
    </font>
    <font>
      <name val="Arial"/>
      <b val="1"/>
      <color rgb="002D5016"/>
      <sz val="10"/>
    </font>
    <font>
      <name val="Arial"/>
      <b val="1"/>
      <color rgb="001C3A6B"/>
      <sz val="10"/>
    </font>
    <font>
      <name val="Arial"/>
      <color rgb="00555555"/>
      <sz val="8"/>
    </font>
    <font>
      <name val="Arial"/>
      <b val="1"/>
      <color rgb="002D5016"/>
      <sz val="8"/>
    </font>
    <font>
      <name val="Arial"/>
      <b val="1"/>
      <color rgb="001C3A6B"/>
      <sz val="8"/>
    </font>
    <font>
      <name val="Arial"/>
      <b val="1"/>
      <color rgb="005B1040"/>
      <sz val="8"/>
    </font>
    <font>
      <name val="Arial"/>
      <color rgb="002D5016"/>
      <sz val="9"/>
    </font>
    <font>
      <name val="Arial"/>
      <color rgb="001C3A6B"/>
      <sz val="9"/>
    </font>
    <font>
      <name val="Arial"/>
      <color rgb="005B1040"/>
      <sz val="9"/>
    </font>
    <font>
      <name val="Arial"/>
      <color rgb="00666666"/>
      <sz val="8"/>
    </font>
    <font>
      <name val="Arial"/>
      <color rgb="00333333"/>
      <sz val="8"/>
    </font>
    <font>
      <name val="Arial"/>
      <color rgb="00000000"/>
      <sz val="8"/>
    </font>
    <font>
      <name val="Arial"/>
      <color rgb="00888888"/>
      <sz val="8"/>
    </font>
    <font>
      <name val="Arial"/>
      <color rgb="002D5016"/>
      <sz val="10"/>
    </font>
    <font>
      <name val="Arial"/>
      <color rgb="005B1040"/>
      <sz val="10"/>
    </font>
    <font>
      <name val="Arial"/>
      <i val="1"/>
      <color rgb="002D5016"/>
      <sz val="9"/>
    </font>
  </fonts>
  <fills count="3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9B1D9"/>
      </patternFill>
    </fill>
    <fill>
      <patternFill patternType="solid">
        <fgColor rgb="00B7D7A8"/>
      </patternFill>
    </fill>
    <fill>
      <patternFill patternType="solid">
        <fgColor rgb="009FC5E8"/>
      </patternFill>
    </fill>
    <fill>
      <patternFill patternType="solid">
        <fgColor rgb="00F9CB9C"/>
      </patternFill>
    </fill>
    <fill>
      <patternFill patternType="solid">
        <fgColor rgb="00DCE6F1"/>
      </patternFill>
    </fill>
    <fill>
      <patternFill patternType="solid">
        <fgColor rgb="00A8D08D"/>
      </patternFill>
    </fill>
    <fill>
      <patternFill patternType="solid">
        <fgColor rgb="00EA9999"/>
      </patternFill>
    </fill>
    <fill>
      <patternFill patternType="solid">
        <fgColor rgb="00F4CCCC"/>
      </patternFill>
    </fill>
    <fill>
      <patternFill patternType="solid">
        <fgColor rgb="00FFE599"/>
      </patternFill>
    </fill>
    <fill>
      <patternFill patternType="solid">
        <fgColor rgb="00FFC000"/>
      </patternFill>
    </fill>
    <fill>
      <patternFill patternType="solid">
        <fgColor rgb="00FFFF9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AE8FC"/>
      </patternFill>
    </fill>
    <fill>
      <patternFill patternType="solid">
        <fgColor rgb="00D9EAD3"/>
      </patternFill>
    </fill>
    <fill>
      <patternFill patternType="solid">
        <fgColor rgb="00FAFAFA"/>
      </patternFill>
    </fill>
    <fill>
      <patternFill patternType="solid">
        <fgColor rgb="00EEF3FB"/>
      </patternFill>
    </fill>
    <fill>
      <patternFill patternType="solid">
        <fgColor rgb="00F5F5F5"/>
      </patternFill>
    </fill>
    <fill>
      <patternFill patternType="solid">
        <fgColor rgb="00F9F9F9"/>
      </patternFill>
    </fill>
    <fill>
      <patternFill patternType="solid">
        <fgColor rgb="00F7FFF7"/>
      </patternFill>
    </fill>
    <fill>
      <patternFill patternType="solid">
        <fgColor rgb="00EEF7EE"/>
      </patternFill>
    </fill>
    <fill>
      <patternFill patternType="solid">
        <fgColor rgb="00CCCCCC"/>
      </patternFill>
    </fill>
    <fill>
      <patternFill patternType="solid">
        <fgColor rgb="00D0E4C8"/>
      </patternFill>
    </fill>
    <fill>
      <patternFill patternType="solid">
        <fgColor rgb="00C9DAF8"/>
      </patternFill>
    </fill>
    <fill>
      <patternFill patternType="solid">
        <fgColor rgb="00F9D4E8"/>
      </patternFill>
    </fill>
    <fill>
      <patternFill patternType="solid">
        <fgColor rgb="00EEF8EE"/>
      </patternFill>
    </fill>
    <fill>
      <patternFill patternType="solid">
        <fgColor rgb="00D5E8D4"/>
      </patternFill>
    </fill>
    <fill>
      <patternFill patternType="solid">
        <fgColor rgb="00FFF8E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</borders>
  <cellStyleXfs count="1">
    <xf numFmtId="0" fontId="0" fillId="0" borderId="0"/>
  </cellStyleXfs>
  <cellXfs count="4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4" borderId="1" pivotButton="0" quotePrefix="0" xfId="0"/>
    <xf numFmtId="9" fontId="5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9" fontId="7" fillId="5" borderId="1" applyAlignment="1" pivotButton="0" quotePrefix="0" xfId="0">
      <alignment horizontal="center" vertical="center" wrapText="1"/>
    </xf>
    <xf numFmtId="0" fontId="8" fillId="6" borderId="1" pivotButton="0" quotePrefix="0" xfId="0"/>
    <xf numFmtId="9" fontId="8" fillId="6" borderId="1" applyAlignment="1" pivotButton="0" quotePrefix="0" xfId="0">
      <alignment horizontal="center" vertical="center" wrapText="1"/>
    </xf>
    <xf numFmtId="0" fontId="9" fillId="7" borderId="1" pivotButton="0" quotePrefix="0" xfId="0"/>
    <xf numFmtId="9" fontId="9" fillId="7" borderId="1" applyAlignment="1" pivotButton="0" quotePrefix="0" xfId="0">
      <alignment horizontal="center" vertical="center" wrapText="1"/>
    </xf>
    <xf numFmtId="0" fontId="10" fillId="9" borderId="1" pivotButton="0" quotePrefix="0" xfId="0"/>
    <xf numFmtId="9" fontId="10" fillId="9" borderId="1" applyAlignment="1" pivotButton="0" quotePrefix="0" xfId="0">
      <alignment horizontal="center" vertical="center" wrapText="1"/>
    </xf>
    <xf numFmtId="0" fontId="13" fillId="12" borderId="1" pivotButton="0" quotePrefix="0" xfId="0"/>
    <xf numFmtId="9" fontId="13" fillId="12" borderId="1" applyAlignment="1" pivotButton="0" quotePrefix="0" xfId="0">
      <alignment horizontal="center" vertical="center" wrapText="1"/>
    </xf>
    <xf numFmtId="0" fontId="11" fillId="10" borderId="1" pivotButton="0" quotePrefix="0" xfId="0"/>
    <xf numFmtId="9" fontId="11" fillId="10" borderId="1" applyAlignment="1" pivotButton="0" quotePrefix="0" xfId="0">
      <alignment horizontal="center" vertical="center" wrapText="1"/>
    </xf>
    <xf numFmtId="0" fontId="12" fillId="11" borderId="1" pivotButton="0" quotePrefix="0" xfId="0"/>
    <xf numFmtId="9" fontId="12" fillId="11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4" fillId="15" borderId="0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left" vertical="center" wrapText="1"/>
    </xf>
    <xf numFmtId="0" fontId="25" fillId="16" borderId="1" applyAlignment="1" pivotButton="0" quotePrefix="0" xfId="0">
      <alignment horizontal="left" vertical="center"/>
    </xf>
    <xf numFmtId="0" fontId="26" fillId="16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left" vertical="center" wrapText="1"/>
    </xf>
    <xf numFmtId="0" fontId="25" fillId="18" borderId="1" applyAlignment="1" pivotButton="0" quotePrefix="0" xfId="0">
      <alignment horizontal="left" vertical="center"/>
    </xf>
    <xf numFmtId="0" fontId="26" fillId="18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27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left" vertical="center" wrapText="1"/>
    </xf>
    <xf numFmtId="0" fontId="25" fillId="19" borderId="1" applyAlignment="1" pivotButton="0" quotePrefix="0" xfId="0">
      <alignment horizontal="left" vertical="center"/>
    </xf>
    <xf numFmtId="0" fontId="26" fillId="19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/>
    </xf>
    <xf numFmtId="0" fontId="26" fillId="11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9" fillId="20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left" vertical="center" wrapText="1"/>
    </xf>
    <xf numFmtId="0" fontId="25" fillId="20" borderId="1" applyAlignment="1" pivotButton="0" quotePrefix="0" xfId="0">
      <alignment horizontal="left" vertical="center"/>
    </xf>
    <xf numFmtId="0" fontId="26" fillId="20" borderId="1" applyAlignment="1" pivotButton="0" quotePrefix="0" xfId="0">
      <alignment horizontal="left" vertical="center" wrapText="1"/>
    </xf>
    <xf numFmtId="0" fontId="30" fillId="3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left" vertical="center"/>
    </xf>
    <xf numFmtId="0" fontId="26" fillId="21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left" vertical="center" wrapText="1"/>
    </xf>
    <xf numFmtId="0" fontId="25" fillId="22" borderId="1" applyAlignment="1" pivotButton="0" quotePrefix="0" xfId="0">
      <alignment horizontal="left" vertical="center"/>
    </xf>
    <xf numFmtId="0" fontId="26" fillId="22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9" fillId="20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left" vertical="center" wrapText="1"/>
    </xf>
    <xf numFmtId="0" fontId="31" fillId="21" borderId="1" applyAlignment="1" pivotButton="0" quotePrefix="0" xfId="0">
      <alignment horizontal="left" vertical="center" wrapText="1"/>
    </xf>
    <xf numFmtId="0" fontId="32" fillId="20" borderId="1" applyAlignment="1" pivotButton="0" quotePrefix="0" xfId="0">
      <alignment horizontal="left" vertical="center" wrapText="1"/>
    </xf>
    <xf numFmtId="0" fontId="33" fillId="17" borderId="1" applyAlignment="1" pivotButton="0" quotePrefix="0" xfId="0">
      <alignment horizontal="left" vertical="center" wrapText="1"/>
    </xf>
    <xf numFmtId="0" fontId="34" fillId="18" borderId="1" applyAlignment="1" pivotButton="0" quotePrefix="0" xfId="0">
      <alignment horizontal="left" vertical="center" wrapText="1"/>
    </xf>
    <xf numFmtId="0" fontId="35" fillId="16" borderId="1" applyAlignment="1" pivotButton="0" quotePrefix="0" xfId="0">
      <alignment horizontal="left" vertical="center" wrapText="1"/>
    </xf>
    <xf numFmtId="0" fontId="36" fillId="22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19" borderId="1" applyAlignment="1" pivotButton="0" quotePrefix="0" xfId="0">
      <alignment horizontal="left" vertical="center" wrapText="1"/>
    </xf>
    <xf numFmtId="0" fontId="39" fillId="15" borderId="1" applyAlignment="1" pivotButton="0" quotePrefix="0" xfId="0">
      <alignment horizontal="center" vertical="center" wrapText="1"/>
    </xf>
    <xf numFmtId="0" fontId="41" fillId="24" borderId="1" applyAlignment="1" pivotButton="0" quotePrefix="0" xfId="0">
      <alignment horizontal="left" vertical="center" wrapText="1"/>
    </xf>
    <xf numFmtId="0" fontId="40" fillId="23" borderId="1" applyAlignment="1" pivotButton="0" quotePrefix="0" xfId="0">
      <alignment horizontal="left" vertical="center" wrapText="1"/>
    </xf>
    <xf numFmtId="0" fontId="42" fillId="3" borderId="1" applyAlignment="1" pivotButton="0" quotePrefix="0" xfId="0">
      <alignment horizontal="center" vertical="center" wrapText="1"/>
    </xf>
    <xf numFmtId="0" fontId="43" fillId="25" borderId="1" applyAlignment="1" pivotButton="0" quotePrefix="0" xfId="0">
      <alignment horizontal="center" vertical="center" wrapText="1"/>
    </xf>
    <xf numFmtId="0" fontId="44" fillId="3" borderId="1" applyAlignment="1" pivotButton="0" quotePrefix="0" xfId="0">
      <alignment horizontal="center" vertical="center" wrapText="1"/>
    </xf>
    <xf numFmtId="0" fontId="45" fillId="24" borderId="1" applyAlignment="1" pivotButton="0" quotePrefix="0" xfId="0">
      <alignment horizontal="left" vertical="center" wrapText="1"/>
    </xf>
    <xf numFmtId="0" fontId="46" fillId="3" borderId="1" applyAlignment="1" pivotButton="0" quotePrefix="0" xfId="0">
      <alignment horizontal="left" vertical="center" wrapText="1"/>
    </xf>
    <xf numFmtId="0" fontId="45" fillId="3" borderId="1" applyAlignment="1" pivotButton="0" quotePrefix="0" xfId="0">
      <alignment horizontal="left" vertical="center" wrapText="1"/>
    </xf>
    <xf numFmtId="0" fontId="46" fillId="26" borderId="1" applyAlignment="1" pivotButton="0" quotePrefix="0" xfId="0">
      <alignment horizontal="left" vertical="center" wrapText="1"/>
    </xf>
    <xf numFmtId="0" fontId="45" fillId="26" borderId="1" applyAlignment="1" pivotButton="0" quotePrefix="0" xfId="0">
      <alignment horizontal="left" vertical="center" wrapText="1"/>
    </xf>
    <xf numFmtId="0" fontId="31" fillId="21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43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29" fillId="14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35" fillId="16" borderId="1" applyAlignment="1" pivotButton="0" quotePrefix="0" xfId="0">
      <alignment horizontal="center" vertical="center" wrapText="1"/>
    </xf>
    <xf numFmtId="0" fontId="36" fillId="22" borderId="1" applyAlignment="1" pivotButton="0" quotePrefix="0" xfId="0">
      <alignment horizontal="center" vertical="center" wrapText="1"/>
    </xf>
    <xf numFmtId="0" fontId="37" fillId="11" borderId="1" applyAlignment="1" pivotButton="0" quotePrefix="0" xfId="0">
      <alignment horizontal="center" vertical="center" wrapText="1"/>
    </xf>
    <xf numFmtId="0" fontId="38" fillId="19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left" vertical="center" wrapText="1"/>
    </xf>
    <xf numFmtId="0" fontId="47" fillId="25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13" borderId="0" pivotButton="0" quotePrefix="0" xfId="0"/>
    <xf numFmtId="0" fontId="48" fillId="3" borderId="1" applyAlignment="1" pivotButton="0" quotePrefix="0" xfId="0">
      <alignment horizontal="left" vertical="center" wrapText="1"/>
    </xf>
    <xf numFmtId="0" fontId="49" fillId="3" borderId="1" applyAlignment="1" pivotButton="0" quotePrefix="0" xfId="0">
      <alignment horizontal="left" vertical="center" wrapText="1"/>
    </xf>
    <xf numFmtId="0" fontId="50" fillId="16" borderId="5" applyAlignment="1" pivotButton="0" quotePrefix="0" xfId="0">
      <alignment horizontal="center" vertical="center" wrapText="1"/>
    </xf>
    <xf numFmtId="0" fontId="38" fillId="27" borderId="1" applyAlignment="1" pivotButton="0" quotePrefix="0" xfId="0">
      <alignment horizontal="left" vertical="center" wrapText="1"/>
    </xf>
    <xf numFmtId="0" fontId="48" fillId="24" borderId="1" applyAlignment="1" pivotButton="0" quotePrefix="0" xfId="0">
      <alignment horizontal="left" vertical="center" wrapText="1"/>
    </xf>
    <xf numFmtId="0" fontId="38" fillId="28" borderId="1" applyAlignment="1" pivotButton="0" quotePrefix="0" xfId="0">
      <alignment horizontal="left" vertical="center" wrapText="1"/>
    </xf>
    <xf numFmtId="0" fontId="49" fillId="24" borderId="1" applyAlignment="1" pivotButton="0" quotePrefix="0" xfId="0">
      <alignment horizontal="left" vertical="center" wrapText="1"/>
    </xf>
    <xf numFmtId="0" fontId="51" fillId="21" borderId="1" applyAlignment="1" pivotButton="0" quotePrefix="0" xfId="0">
      <alignment horizontal="left" vertical="center" wrapText="1"/>
    </xf>
    <xf numFmtId="0" fontId="52" fillId="21" borderId="1" applyAlignment="1" pivotButton="0" quotePrefix="0" xfId="0">
      <alignment horizontal="center" vertical="center" wrapText="1"/>
    </xf>
    <xf numFmtId="9" fontId="8" fillId="21" borderId="1" applyAlignment="1" pivotButton="0" quotePrefix="0" xfId="0">
      <alignment horizontal="center" vertical="center" wrapText="1"/>
    </xf>
    <xf numFmtId="0" fontId="53" fillId="21" borderId="1" applyAlignment="1" pivotButton="0" quotePrefix="0" xfId="0">
      <alignment horizontal="left" vertical="center"/>
    </xf>
    <xf numFmtId="0" fontId="54" fillId="20" borderId="1" applyAlignment="1" pivotButton="0" quotePrefix="0" xfId="0">
      <alignment horizontal="left" vertical="center" wrapText="1"/>
    </xf>
    <xf numFmtId="0" fontId="52" fillId="20" borderId="1" applyAlignment="1" pivotButton="0" quotePrefix="0" xfId="0">
      <alignment horizontal="center" vertical="center" wrapText="1"/>
    </xf>
    <xf numFmtId="9" fontId="29" fillId="20" borderId="1" applyAlignment="1" pivotButton="0" quotePrefix="0" xfId="0">
      <alignment horizontal="center" vertical="center" wrapText="1"/>
    </xf>
    <xf numFmtId="0" fontId="55" fillId="20" borderId="1" applyAlignment="1" pivotButton="0" quotePrefix="0" xfId="0">
      <alignment horizontal="left" vertical="center"/>
    </xf>
    <xf numFmtId="0" fontId="56" fillId="17" borderId="1" applyAlignment="1" pivotButton="0" quotePrefix="0" xfId="0">
      <alignment horizontal="left" vertical="center" wrapText="1"/>
    </xf>
    <xf numFmtId="0" fontId="52" fillId="17" borderId="1" applyAlignment="1" pivotButton="0" quotePrefix="0" xfId="0">
      <alignment horizontal="center" vertical="center" wrapText="1"/>
    </xf>
    <xf numFmtId="9" fontId="9" fillId="17" borderId="1" applyAlignment="1" pivotButton="0" quotePrefix="0" xfId="0">
      <alignment horizontal="center" vertical="center" wrapText="1"/>
    </xf>
    <xf numFmtId="0" fontId="57" fillId="17" borderId="1" applyAlignment="1" pivotButton="0" quotePrefix="0" xfId="0">
      <alignment horizontal="left" vertical="center"/>
    </xf>
    <xf numFmtId="0" fontId="58" fillId="18" borderId="1" applyAlignment="1" pivotButton="0" quotePrefix="0" xfId="0">
      <alignment horizontal="left" vertical="center" wrapText="1"/>
    </xf>
    <xf numFmtId="0" fontId="52" fillId="18" borderId="1" applyAlignment="1" pivotButton="0" quotePrefix="0" xfId="0">
      <alignment horizontal="center" vertical="center" wrapText="1"/>
    </xf>
    <xf numFmtId="9" fontId="10" fillId="18" borderId="1" applyAlignment="1" pivotButton="0" quotePrefix="0" xfId="0">
      <alignment horizontal="center" vertical="center" wrapText="1"/>
    </xf>
    <xf numFmtId="0" fontId="59" fillId="18" borderId="1" applyAlignment="1" pivotButton="0" quotePrefix="0" xfId="0">
      <alignment horizontal="left" vertical="center"/>
    </xf>
    <xf numFmtId="0" fontId="60" fillId="16" borderId="1" applyAlignment="1" pivotButton="0" quotePrefix="0" xfId="0">
      <alignment horizontal="left" vertical="center" wrapText="1"/>
    </xf>
    <xf numFmtId="0" fontId="52" fillId="16" borderId="1" applyAlignment="1" pivotButton="0" quotePrefix="0" xfId="0">
      <alignment horizontal="center" vertical="center" wrapText="1"/>
    </xf>
    <xf numFmtId="9" fontId="13" fillId="16" borderId="1" applyAlignment="1" pivotButton="0" quotePrefix="0" xfId="0">
      <alignment horizontal="center" vertical="center" wrapText="1"/>
    </xf>
    <xf numFmtId="0" fontId="61" fillId="16" borderId="1" applyAlignment="1" pivotButton="0" quotePrefix="0" xfId="0">
      <alignment horizontal="left" vertical="center"/>
    </xf>
    <xf numFmtId="0" fontId="62" fillId="22" borderId="1" applyAlignment="1" pivotButton="0" quotePrefix="0" xfId="0">
      <alignment horizontal="left" vertical="center" wrapText="1"/>
    </xf>
    <xf numFmtId="0" fontId="52" fillId="22" borderId="1" applyAlignment="1" pivotButton="0" quotePrefix="0" xfId="0">
      <alignment horizontal="center" vertical="center" wrapText="1"/>
    </xf>
    <xf numFmtId="9" fontId="7" fillId="22" borderId="1" applyAlignment="1" pivotButton="0" quotePrefix="0" xfId="0">
      <alignment horizontal="center" vertical="center" wrapText="1"/>
    </xf>
    <xf numFmtId="0" fontId="63" fillId="22" borderId="1" applyAlignment="1" pivotButton="0" quotePrefix="0" xfId="0">
      <alignment horizontal="left" vertical="center"/>
    </xf>
    <xf numFmtId="0" fontId="64" fillId="11" borderId="1" applyAlignment="1" pivotButton="0" quotePrefix="0" xfId="0">
      <alignment horizontal="left" vertical="center" wrapText="1"/>
    </xf>
    <xf numFmtId="0" fontId="52" fillId="11" borderId="1" applyAlignment="1" pivotButton="0" quotePrefix="0" xfId="0">
      <alignment horizontal="center" vertical="center" wrapText="1"/>
    </xf>
    <xf numFmtId="9" fontId="11" fillId="11" borderId="1" applyAlignment="1" pivotButton="0" quotePrefix="0" xfId="0">
      <alignment horizontal="center" vertical="center" wrapText="1"/>
    </xf>
    <xf numFmtId="0" fontId="65" fillId="11" borderId="1" applyAlignment="1" pivotButton="0" quotePrefix="0" xfId="0">
      <alignment horizontal="left" vertical="center"/>
    </xf>
    <xf numFmtId="0" fontId="66" fillId="19" borderId="1" applyAlignment="1" pivotButton="0" quotePrefix="0" xfId="0">
      <alignment horizontal="left" vertical="center" wrapText="1"/>
    </xf>
    <xf numFmtId="0" fontId="52" fillId="19" borderId="1" applyAlignment="1" pivotButton="0" quotePrefix="0" xfId="0">
      <alignment horizontal="center" vertical="center" wrapText="1"/>
    </xf>
    <xf numFmtId="9" fontId="27" fillId="19" borderId="1" applyAlignment="1" pivotButton="0" quotePrefix="0" xfId="0">
      <alignment horizontal="center" vertical="center" wrapText="1"/>
    </xf>
    <xf numFmtId="0" fontId="67" fillId="19" borderId="1" applyAlignment="1" pivotButton="0" quotePrefix="0" xfId="0">
      <alignment horizontal="left" vertical="center"/>
    </xf>
    <xf numFmtId="2" fontId="13" fillId="14" borderId="1" applyAlignment="1" pivotButton="0" quotePrefix="0" xfId="0">
      <alignment horizontal="center" vertical="center" wrapText="1"/>
    </xf>
    <xf numFmtId="2" fontId="3" fillId="16" borderId="1" applyAlignment="1" pivotButton="0" quotePrefix="0" xfId="0">
      <alignment horizontal="center" vertical="center" wrapText="1"/>
    </xf>
    <xf numFmtId="2" fontId="9" fillId="14" borderId="1" applyAlignment="1" pivotButton="0" quotePrefix="0" xfId="0">
      <alignment horizontal="center" vertical="center" wrapText="1"/>
    </xf>
    <xf numFmtId="2" fontId="3" fillId="17" borderId="1" applyAlignment="1" pivotButton="0" quotePrefix="0" xfId="0">
      <alignment horizontal="center" vertical="center" wrapText="1"/>
    </xf>
    <xf numFmtId="2" fontId="10" fillId="14" borderId="1" applyAlignment="1" pivotButton="0" quotePrefix="0" xfId="0">
      <alignment horizontal="center" vertical="center" wrapText="1"/>
    </xf>
    <xf numFmtId="2" fontId="3" fillId="18" borderId="1" applyAlignment="1" pivotButton="0" quotePrefix="0" xfId="0">
      <alignment horizontal="center" vertical="center" wrapText="1"/>
    </xf>
    <xf numFmtId="2" fontId="27" fillId="14" borderId="1" applyAlignment="1" pivotButton="0" quotePrefix="0" xfId="0">
      <alignment horizontal="center" vertical="center" wrapText="1"/>
    </xf>
    <xf numFmtId="2" fontId="3" fillId="19" borderId="1" applyAlignment="1" pivotButton="0" quotePrefix="0" xfId="0">
      <alignment horizontal="center" vertical="center" wrapText="1"/>
    </xf>
    <xf numFmtId="2" fontId="11" fillId="14" borderId="1" applyAlignment="1" pivotButton="0" quotePrefix="0" xfId="0">
      <alignment horizontal="center" vertical="center" wrapText="1"/>
    </xf>
    <xf numFmtId="2" fontId="3" fillId="11" borderId="1" applyAlignment="1" pivotButton="0" quotePrefix="0" xfId="0">
      <alignment horizontal="center" vertical="center" wrapText="1"/>
    </xf>
    <xf numFmtId="2" fontId="29" fillId="14" borderId="1" applyAlignment="1" pivotButton="0" quotePrefix="0" xfId="0">
      <alignment horizontal="center" vertical="center" wrapText="1"/>
    </xf>
    <xf numFmtId="2" fontId="3" fillId="20" borderId="1" applyAlignment="1" pivotButton="0" quotePrefix="0" xfId="0">
      <alignment horizontal="center" vertical="center" wrapText="1"/>
    </xf>
    <xf numFmtId="2" fontId="8" fillId="14" borderId="1" applyAlignment="1" pivotButton="0" quotePrefix="0" xfId="0">
      <alignment horizontal="center" vertical="center" wrapText="1"/>
    </xf>
    <xf numFmtId="2" fontId="3" fillId="21" borderId="1" applyAlignment="1" pivotButton="0" quotePrefix="0" xfId="0">
      <alignment horizontal="center" vertical="center" wrapText="1"/>
    </xf>
    <xf numFmtId="2" fontId="7" fillId="14" borderId="1" applyAlignment="1" pivotButton="0" quotePrefix="0" xfId="0">
      <alignment horizontal="center" vertical="center" wrapText="1"/>
    </xf>
    <xf numFmtId="2" fontId="3" fillId="22" borderId="1" applyAlignment="1" pivotButton="0" quotePrefix="0" xfId="0">
      <alignment horizontal="center" vertical="center" wrapText="1"/>
    </xf>
    <xf numFmtId="0" fontId="68" fillId="13" borderId="0" applyAlignment="1" pivotButton="0" quotePrefix="0" xfId="0">
      <alignment horizontal="left" vertical="center" wrapText="1"/>
    </xf>
    <xf numFmtId="0" fontId="3" fillId="29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2" fontId="3" fillId="14" borderId="1" applyAlignment="1" pivotButton="0" quotePrefix="0" xfId="0">
      <alignment horizontal="center" vertical="center" wrapText="1"/>
    </xf>
    <xf numFmtId="0" fontId="69" fillId="1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 wrapText="1"/>
    </xf>
    <xf numFmtId="2" fontId="4" fillId="25" borderId="1" applyAlignment="1" pivotButton="0" quotePrefix="0" xfId="0">
      <alignment horizontal="center" vertical="center" wrapText="1"/>
    </xf>
    <xf numFmtId="0" fontId="70" fillId="25" borderId="1" applyAlignment="1" pivotButton="0" quotePrefix="0" xfId="0">
      <alignment horizontal="center" vertical="center" wrapText="1"/>
    </xf>
    <xf numFmtId="0" fontId="71" fillId="26" borderId="0" applyAlignment="1" pivotButton="0" quotePrefix="0" xfId="0">
      <alignment horizontal="left" vertical="center" wrapText="1"/>
    </xf>
    <xf numFmtId="0" fontId="71" fillId="15" borderId="0" applyAlignment="1" pivotButton="0" quotePrefix="0" xfId="0">
      <alignment horizontal="left" vertical="center" wrapText="1"/>
    </xf>
    <xf numFmtId="0" fontId="73" fillId="3" borderId="1" applyAlignment="1" pivotButton="0" quotePrefix="0" xfId="0">
      <alignment horizontal="left" vertical="center" wrapText="1"/>
    </xf>
    <xf numFmtId="0" fontId="74" fillId="16" borderId="6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24" borderId="1" applyAlignment="1" pivotButton="0" quotePrefix="0" xfId="0">
      <alignment horizontal="left" vertical="center" wrapText="1"/>
    </xf>
    <xf numFmtId="0" fontId="75" fillId="21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left" vertical="center"/>
    </xf>
    <xf numFmtId="0" fontId="75" fillId="20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left" vertical="center"/>
    </xf>
    <xf numFmtId="0" fontId="75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left" vertical="center"/>
    </xf>
    <xf numFmtId="0" fontId="75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left" vertical="center"/>
    </xf>
    <xf numFmtId="0" fontId="75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left" vertical="center"/>
    </xf>
    <xf numFmtId="0" fontId="75" fillId="22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left" vertical="center"/>
    </xf>
    <xf numFmtId="0" fontId="75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/>
    </xf>
    <xf numFmtId="0" fontId="75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left" vertical="center"/>
    </xf>
    <xf numFmtId="0" fontId="76" fillId="16" borderId="1" applyAlignment="1" pivotButton="0" quotePrefix="0" xfId="0">
      <alignment horizontal="left" vertical="center" wrapText="1"/>
    </xf>
    <xf numFmtId="2" fontId="13" fillId="16" borderId="1" applyAlignment="1" pivotButton="0" quotePrefix="0" xfId="0">
      <alignment horizontal="center" vertical="center" wrapText="1"/>
    </xf>
    <xf numFmtId="0" fontId="76" fillId="17" borderId="1" applyAlignment="1" pivotButton="0" quotePrefix="0" xfId="0">
      <alignment horizontal="left" vertical="center" wrapText="1"/>
    </xf>
    <xf numFmtId="2" fontId="9" fillId="17" borderId="1" applyAlignment="1" pivotButton="0" quotePrefix="0" xfId="0">
      <alignment horizontal="center" vertical="center" wrapText="1"/>
    </xf>
    <xf numFmtId="0" fontId="76" fillId="18" borderId="1" applyAlignment="1" pivotButton="0" quotePrefix="0" xfId="0">
      <alignment horizontal="left" vertical="center" wrapText="1"/>
    </xf>
    <xf numFmtId="2" fontId="10" fillId="18" borderId="1" applyAlignment="1" pivotButton="0" quotePrefix="0" xfId="0">
      <alignment horizontal="center" vertical="center" wrapText="1"/>
    </xf>
    <xf numFmtId="0" fontId="76" fillId="19" borderId="1" applyAlignment="1" pivotButton="0" quotePrefix="0" xfId="0">
      <alignment horizontal="left" vertical="center" wrapText="1"/>
    </xf>
    <xf numFmtId="2" fontId="27" fillId="19" borderId="1" applyAlignment="1" pivotButton="0" quotePrefix="0" xfId="0">
      <alignment horizontal="center" vertical="center" wrapText="1"/>
    </xf>
    <xf numFmtId="0" fontId="76" fillId="11" borderId="1" applyAlignment="1" pivotButton="0" quotePrefix="0" xfId="0">
      <alignment horizontal="left" vertical="center" wrapText="1"/>
    </xf>
    <xf numFmtId="2" fontId="11" fillId="11" borderId="1" applyAlignment="1" pivotButton="0" quotePrefix="0" xfId="0">
      <alignment horizontal="center" vertical="center" wrapText="1"/>
    </xf>
    <xf numFmtId="0" fontId="76" fillId="20" borderId="1" applyAlignment="1" pivotButton="0" quotePrefix="0" xfId="0">
      <alignment horizontal="left" vertical="center" wrapText="1"/>
    </xf>
    <xf numFmtId="2" fontId="29" fillId="20" borderId="1" applyAlignment="1" pivotButton="0" quotePrefix="0" xfId="0">
      <alignment horizontal="center" vertical="center" wrapText="1"/>
    </xf>
    <xf numFmtId="0" fontId="76" fillId="21" borderId="1" applyAlignment="1" pivotButton="0" quotePrefix="0" xfId="0">
      <alignment horizontal="left" vertical="center" wrapText="1"/>
    </xf>
    <xf numFmtId="2" fontId="8" fillId="21" borderId="1" applyAlignment="1" pivotButton="0" quotePrefix="0" xfId="0">
      <alignment horizontal="center" vertical="center" wrapText="1"/>
    </xf>
    <xf numFmtId="0" fontId="76" fillId="22" borderId="1" applyAlignment="1" pivotButton="0" quotePrefix="0" xfId="0">
      <alignment horizontal="left" vertical="center" wrapText="1"/>
    </xf>
    <xf numFmtId="2" fontId="7" fillId="22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9" fillId="1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77" fillId="16" borderId="1" applyAlignment="1" pivotButton="0" quotePrefix="0" xfId="0">
      <alignment horizontal="center" vertical="center" wrapText="1"/>
    </xf>
    <xf numFmtId="0" fontId="78" fillId="17" borderId="1" applyAlignment="1" pivotButton="0" quotePrefix="0" xfId="0">
      <alignment horizontal="center" vertical="center" wrapText="1"/>
    </xf>
    <xf numFmtId="0" fontId="79" fillId="18" borderId="1" applyAlignment="1" pivotButton="0" quotePrefix="0" xfId="0">
      <alignment horizontal="center" vertical="center" wrapText="1"/>
    </xf>
    <xf numFmtId="0" fontId="80" fillId="19" borderId="1" applyAlignment="1" pivotButton="0" quotePrefix="0" xfId="0">
      <alignment horizontal="center" vertical="center" wrapText="1"/>
    </xf>
    <xf numFmtId="0" fontId="81" fillId="11" borderId="1" applyAlignment="1" pivotButton="0" quotePrefix="0" xfId="0">
      <alignment horizontal="center" vertical="center" wrapText="1"/>
    </xf>
    <xf numFmtId="0" fontId="82" fillId="20" borderId="1" applyAlignment="1" pivotButton="0" quotePrefix="0" xfId="0">
      <alignment horizontal="center" vertical="center" wrapText="1"/>
    </xf>
    <xf numFmtId="0" fontId="83" fillId="21" borderId="1" applyAlignment="1" pivotButton="0" quotePrefix="0" xfId="0">
      <alignment horizontal="center" vertical="center" wrapText="1"/>
    </xf>
    <xf numFmtId="0" fontId="84" fillId="22" borderId="1" applyAlignment="1" pivotButton="0" quotePrefix="0" xfId="0">
      <alignment horizontal="center" vertical="center" wrapText="1"/>
    </xf>
    <xf numFmtId="0" fontId="46" fillId="25" borderId="1" applyAlignment="1" pivotButton="0" quotePrefix="0" xfId="0">
      <alignment horizontal="left" vertical="center" wrapText="1"/>
    </xf>
    <xf numFmtId="0" fontId="85" fillId="25" borderId="1" applyAlignment="1" pivotButton="0" quotePrefix="0" xfId="0">
      <alignment horizontal="center" vertical="center" wrapText="1"/>
    </xf>
    <xf numFmtId="0" fontId="85" fillId="3" borderId="1" applyAlignment="1" pivotButton="0" quotePrefix="0" xfId="0">
      <alignment horizontal="center" vertical="center" wrapText="1"/>
    </xf>
    <xf numFmtId="0" fontId="27" fillId="19" borderId="0" applyAlignment="1" pivotButton="0" quotePrefix="0" xfId="0">
      <alignment horizontal="left" vertical="center" wrapText="1"/>
    </xf>
    <xf numFmtId="0" fontId="41" fillId="14" borderId="1" applyAlignment="1" pivotButton="0" quotePrefix="0" xfId="0">
      <alignment horizontal="left" vertical="center" wrapText="1"/>
    </xf>
    <xf numFmtId="0" fontId="87" fillId="3" borderId="1" applyAlignment="1" pivotButton="0" quotePrefix="0" xfId="0">
      <alignment horizontal="left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24" borderId="1" applyAlignment="1" pivotButton="0" quotePrefix="0" xfId="0">
      <alignment horizontal="left" vertical="center" wrapText="1"/>
    </xf>
    <xf numFmtId="0" fontId="78" fillId="17" borderId="1" applyAlignment="1" pivotButton="0" quotePrefix="0" xfId="0">
      <alignment horizontal="left" vertical="center" wrapText="1"/>
    </xf>
    <xf numFmtId="0" fontId="80" fillId="19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/>
    </xf>
    <xf numFmtId="0" fontId="30" fillId="20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left" vertical="center"/>
    </xf>
    <xf numFmtId="0" fontId="4" fillId="29" borderId="0" applyAlignment="1" pivotButton="0" quotePrefix="0" xfId="0">
      <alignment horizontal="left" vertical="center" wrapText="1"/>
    </xf>
    <xf numFmtId="0" fontId="62" fillId="22" borderId="1" applyAlignment="1" pivotButton="0" quotePrefix="0" xfId="0">
      <alignment horizontal="center" vertical="center" wrapText="1"/>
    </xf>
    <xf numFmtId="0" fontId="56" fillId="17" borderId="1" applyAlignment="1" pivotButton="0" quotePrefix="0" xfId="0">
      <alignment horizontal="center" vertical="center" wrapText="1"/>
    </xf>
    <xf numFmtId="0" fontId="51" fillId="21" borderId="1" applyAlignment="1" pivotButton="0" quotePrefix="0" xfId="0">
      <alignment horizontal="center" vertical="center" wrapText="1"/>
    </xf>
    <xf numFmtId="0" fontId="54" fillId="20" borderId="1" applyAlignment="1" pivotButton="0" quotePrefix="0" xfId="0">
      <alignment horizontal="center" vertical="center" wrapText="1"/>
    </xf>
    <xf numFmtId="0" fontId="88" fillId="30" borderId="1" applyAlignment="1" pivotButton="0" quotePrefix="0" xfId="0">
      <alignment horizontal="center" vertical="center" wrapText="1"/>
    </xf>
    <xf numFmtId="0" fontId="89" fillId="31" borderId="1" applyAlignment="1" pivotButton="0" quotePrefix="0" xfId="0">
      <alignment horizontal="center" vertical="center" wrapText="1"/>
    </xf>
    <xf numFmtId="0" fontId="64" fillId="11" borderId="1" applyAlignment="1" pivotButton="0" quotePrefix="0" xfId="0">
      <alignment horizontal="center" vertical="center" wrapText="1"/>
    </xf>
    <xf numFmtId="0" fontId="60" fillId="16" borderId="1" applyAlignment="1" pivotButton="0" quotePrefix="0" xfId="0">
      <alignment horizontal="center" vertical="center" wrapText="1"/>
    </xf>
    <xf numFmtId="0" fontId="66" fillId="19" borderId="1" applyAlignment="1" pivotButton="0" quotePrefix="0" xfId="0">
      <alignment horizontal="center" vertical="center" wrapText="1"/>
    </xf>
    <xf numFmtId="0" fontId="90" fillId="32" borderId="1" applyAlignment="1" pivotButton="0" quotePrefix="0" xfId="0">
      <alignment horizontal="center" vertical="center" wrapText="1"/>
    </xf>
    <xf numFmtId="0" fontId="91" fillId="2" borderId="0" applyAlignment="1" pivotButton="0" quotePrefix="0" xfId="0">
      <alignment horizontal="center" vertical="center" wrapText="1"/>
    </xf>
    <xf numFmtId="0" fontId="92" fillId="22" borderId="1" applyAlignment="1" pivotButton="0" quotePrefix="0" xfId="0">
      <alignment horizontal="left" vertical="center" wrapText="1"/>
    </xf>
    <xf numFmtId="0" fontId="93" fillId="17" borderId="1" applyAlignment="1" pivotButton="0" quotePrefix="0" xfId="0">
      <alignment horizontal="left" vertical="center" wrapText="1"/>
    </xf>
    <xf numFmtId="0" fontId="94" fillId="21" borderId="1" applyAlignment="1" pivotButton="0" quotePrefix="0" xfId="0">
      <alignment horizontal="left" vertical="center" wrapText="1"/>
    </xf>
    <xf numFmtId="0" fontId="95" fillId="20" borderId="1" applyAlignment="1" pivotButton="0" quotePrefix="0" xfId="0">
      <alignment horizontal="left" vertical="center" wrapText="1"/>
    </xf>
    <xf numFmtId="0" fontId="96" fillId="30" borderId="1" applyAlignment="1" pivotButton="0" quotePrefix="0" xfId="0">
      <alignment horizontal="left" vertical="center" wrapText="1"/>
    </xf>
    <xf numFmtId="0" fontId="97" fillId="31" borderId="1" applyAlignment="1" pivotButton="0" quotePrefix="0" xfId="0">
      <alignment horizontal="left" vertical="center" wrapText="1"/>
    </xf>
    <xf numFmtId="0" fontId="98" fillId="11" borderId="1" applyAlignment="1" pivotButton="0" quotePrefix="0" xfId="0">
      <alignment horizontal="left" vertical="center" wrapText="1"/>
    </xf>
    <xf numFmtId="0" fontId="99" fillId="16" borderId="1" applyAlignment="1" pivotButton="0" quotePrefix="0" xfId="0">
      <alignment horizontal="left" vertical="center" wrapText="1"/>
    </xf>
    <xf numFmtId="0" fontId="100" fillId="19" borderId="1" applyAlignment="1" pivotButton="0" quotePrefix="0" xfId="0">
      <alignment horizontal="left" vertical="center" wrapText="1"/>
    </xf>
    <xf numFmtId="0" fontId="101" fillId="32" borderId="1" applyAlignment="1" pivotButton="0" quotePrefix="0" xfId="0">
      <alignment horizontal="left" vertical="center" wrapText="1"/>
    </xf>
    <xf numFmtId="0" fontId="94" fillId="21" borderId="1" applyAlignment="1" pivotButton="0" quotePrefix="0" xfId="0">
      <alignment horizontal="center" vertical="center" wrapText="1"/>
    </xf>
    <xf numFmtId="0" fontId="95" fillId="20" borderId="1" applyAlignment="1" pivotButton="0" quotePrefix="0" xfId="0">
      <alignment horizontal="center" vertical="center" wrapText="1"/>
    </xf>
    <xf numFmtId="0" fontId="102" fillId="14" borderId="1" applyAlignment="1" pivotButton="0" quotePrefix="0" xfId="0">
      <alignment horizontal="center" vertical="center" wrapText="1"/>
    </xf>
    <xf numFmtId="0" fontId="93" fillId="17" borderId="1" applyAlignment="1" pivotButton="0" quotePrefix="0" xfId="0">
      <alignment horizontal="center" vertical="center" wrapText="1"/>
    </xf>
    <xf numFmtId="0" fontId="103" fillId="18" borderId="1" applyAlignment="1" pivotButton="0" quotePrefix="0" xfId="0">
      <alignment horizontal="center" vertical="center" wrapText="1"/>
    </xf>
    <xf numFmtId="0" fontId="104" fillId="14" borderId="1" applyAlignment="1" pivotButton="0" quotePrefix="0" xfId="0">
      <alignment horizontal="center" vertical="center" wrapText="1"/>
    </xf>
    <xf numFmtId="0" fontId="105" fillId="14" borderId="1" applyAlignment="1" pivotButton="0" quotePrefix="0" xfId="0">
      <alignment horizontal="center" vertical="center" wrapText="1"/>
    </xf>
    <xf numFmtId="0" fontId="99" fillId="16" borderId="1" applyAlignment="1" pivotButton="0" quotePrefix="0" xfId="0">
      <alignment horizontal="center" vertical="center" wrapText="1"/>
    </xf>
    <xf numFmtId="0" fontId="92" fillId="22" borderId="1" applyAlignment="1" pivotButton="0" quotePrefix="0" xfId="0">
      <alignment horizontal="center" vertical="center" wrapText="1"/>
    </xf>
    <xf numFmtId="0" fontId="106" fillId="25" borderId="1" applyAlignment="1" pivotButton="0" quotePrefix="0" xfId="0">
      <alignment horizontal="left" vertical="center" wrapText="1"/>
    </xf>
    <xf numFmtId="0" fontId="106" fillId="3" borderId="1" applyAlignment="1" pivotButton="0" quotePrefix="0" xfId="0">
      <alignment horizontal="left" vertical="center" wrapText="1"/>
    </xf>
    <xf numFmtId="0" fontId="107" fillId="30" borderId="1" applyAlignment="1" pivotButton="0" quotePrefix="0" xfId="0">
      <alignment horizontal="center" vertical="center" wrapText="1"/>
    </xf>
    <xf numFmtId="0" fontId="108" fillId="31" borderId="1" applyAlignment="1" pivotButton="0" quotePrefix="0" xfId="0">
      <alignment horizontal="center" vertical="center" wrapText="1"/>
    </xf>
    <xf numFmtId="0" fontId="109" fillId="32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left" vertical="center"/>
    </xf>
    <xf numFmtId="0" fontId="30" fillId="20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left" vertical="center"/>
    </xf>
    <xf numFmtId="0" fontId="88" fillId="30" borderId="1" applyAlignment="1" pivotButton="0" quotePrefix="0" xfId="0">
      <alignment horizontal="left" vertical="center" wrapText="1"/>
    </xf>
    <xf numFmtId="0" fontId="89" fillId="31" borderId="1" applyAlignment="1" pivotButton="0" quotePrefix="0" xfId="0">
      <alignment horizontal="left" vertical="center" wrapText="1"/>
    </xf>
    <xf numFmtId="0" fontId="90" fillId="32" borderId="1" applyAlignment="1" pivotButton="0" quotePrefix="0" xfId="0">
      <alignment horizontal="left" vertical="center" wrapText="1"/>
    </xf>
    <xf numFmtId="0" fontId="104" fillId="30" borderId="1" applyAlignment="1" pivotButton="0" quotePrefix="0" xfId="0">
      <alignment horizontal="left" vertical="center" wrapText="1"/>
    </xf>
    <xf numFmtId="0" fontId="110" fillId="30" borderId="1" applyAlignment="1" pivotButton="0" quotePrefix="0" xfId="0">
      <alignment horizontal="left" vertical="center" wrapText="1"/>
    </xf>
    <xf numFmtId="2" fontId="104" fillId="14" borderId="1" applyAlignment="1" pivotButton="0" quotePrefix="0" xfId="0">
      <alignment horizontal="center" vertical="center" wrapText="1"/>
    </xf>
    <xf numFmtId="2" fontId="104" fillId="30" borderId="1" applyAlignment="1" pivotButton="0" quotePrefix="0" xfId="0">
      <alignment horizontal="center" vertical="center" wrapText="1"/>
    </xf>
    <xf numFmtId="0" fontId="104" fillId="30" borderId="1" applyAlignment="1" pivotButton="0" quotePrefix="0" xfId="0">
      <alignment horizontal="center" vertical="center" wrapText="1"/>
    </xf>
    <xf numFmtId="0" fontId="105" fillId="31" borderId="1" applyAlignment="1" pivotButton="0" quotePrefix="0" xfId="0">
      <alignment horizontal="left" vertical="center" wrapText="1"/>
    </xf>
    <xf numFmtId="0" fontId="111" fillId="31" borderId="1" applyAlignment="1" pivotButton="0" quotePrefix="0" xfId="0">
      <alignment horizontal="left" vertical="center" wrapText="1"/>
    </xf>
    <xf numFmtId="2" fontId="105" fillId="14" borderId="1" applyAlignment="1" pivotButton="0" quotePrefix="0" xfId="0">
      <alignment horizontal="center" vertical="center" wrapText="1"/>
    </xf>
    <xf numFmtId="2" fontId="105" fillId="31" borderId="1" applyAlignment="1" pivotButton="0" quotePrefix="0" xfId="0">
      <alignment horizontal="center" vertical="center" wrapText="1"/>
    </xf>
    <xf numFmtId="0" fontId="105" fillId="31" borderId="1" applyAlignment="1" pivotButton="0" quotePrefix="0" xfId="0">
      <alignment horizontal="center" vertical="center" wrapText="1"/>
    </xf>
    <xf numFmtId="0" fontId="102" fillId="32" borderId="1" applyAlignment="1" pivotButton="0" quotePrefix="0" xfId="0">
      <alignment horizontal="left" vertical="center" wrapText="1"/>
    </xf>
    <xf numFmtId="0" fontId="112" fillId="32" borderId="1" applyAlignment="1" pivotButton="0" quotePrefix="0" xfId="0">
      <alignment horizontal="left" vertical="center" wrapText="1"/>
    </xf>
    <xf numFmtId="2" fontId="102" fillId="14" borderId="1" applyAlignment="1" pivotButton="0" quotePrefix="0" xfId="0">
      <alignment horizontal="center" vertical="center" wrapText="1"/>
    </xf>
    <xf numFmtId="2" fontId="102" fillId="32" borderId="1" applyAlignment="1" pivotButton="0" quotePrefix="0" xfId="0">
      <alignment horizontal="center" vertical="center" wrapText="1"/>
    </xf>
    <xf numFmtId="0" fontId="102" fillId="32" borderId="1" applyAlignment="1" pivotButton="0" quotePrefix="0" xfId="0">
      <alignment horizontal="center" vertical="center" wrapText="1"/>
    </xf>
    <xf numFmtId="0" fontId="113" fillId="22" borderId="1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left" vertical="center" wrapText="1"/>
    </xf>
    <xf numFmtId="0" fontId="113" fillId="3" borderId="1" applyAlignment="1" pivotButton="0" quotePrefix="0" xfId="0">
      <alignment horizontal="left" vertical="center" wrapText="1"/>
    </xf>
    <xf numFmtId="0" fontId="113" fillId="17" borderId="1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left" vertical="center" wrapText="1"/>
    </xf>
    <xf numFmtId="0" fontId="113" fillId="21" borderId="1" applyAlignment="1" pivotButton="0" quotePrefix="0" xfId="0">
      <alignment horizontal="left" vertical="center" wrapText="1"/>
    </xf>
    <xf numFmtId="0" fontId="31" fillId="3" borderId="1" applyAlignment="1" pivotButton="0" quotePrefix="0" xfId="0">
      <alignment horizontal="left" vertical="center" wrapText="1"/>
    </xf>
    <xf numFmtId="0" fontId="113" fillId="20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left" vertical="center" wrapText="1"/>
    </xf>
    <xf numFmtId="0" fontId="113" fillId="30" borderId="1" applyAlignment="1" pivotButton="0" quotePrefix="0" xfId="0">
      <alignment horizontal="left" vertical="center" wrapText="1"/>
    </xf>
    <xf numFmtId="0" fontId="110" fillId="3" borderId="1" applyAlignment="1" pivotButton="0" quotePrefix="0" xfId="0">
      <alignment horizontal="left" vertical="center" wrapText="1"/>
    </xf>
    <xf numFmtId="0" fontId="113" fillId="31" borderId="1" applyAlignment="1" pivotButton="0" quotePrefix="0" xfId="0">
      <alignment horizontal="left" vertical="center" wrapText="1"/>
    </xf>
    <xf numFmtId="0" fontId="111" fillId="3" borderId="1" applyAlignment="1" pivotButton="0" quotePrefix="0" xfId="0">
      <alignment horizontal="left" vertical="center" wrapText="1"/>
    </xf>
    <xf numFmtId="0" fontId="113" fillId="11" borderId="1" applyAlignment="1" pivotButton="0" quotePrefix="0" xfId="0">
      <alignment horizontal="left" vertical="center" wrapText="1"/>
    </xf>
    <xf numFmtId="0" fontId="37" fillId="3" borderId="1" applyAlignment="1" pivotButton="0" quotePrefix="0" xfId="0">
      <alignment horizontal="left" vertical="center" wrapText="1"/>
    </xf>
    <xf numFmtId="0" fontId="113" fillId="16" borderId="1" applyAlignment="1" pivotButton="0" quotePrefix="0" xfId="0">
      <alignment horizontal="left" vertical="center" wrapText="1"/>
    </xf>
    <xf numFmtId="0" fontId="35" fillId="3" borderId="1" applyAlignment="1" pivotButton="0" quotePrefix="0" xfId="0">
      <alignment horizontal="left" vertical="center" wrapText="1"/>
    </xf>
    <xf numFmtId="0" fontId="113" fillId="19" borderId="1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left" vertical="center" wrapText="1"/>
    </xf>
    <xf numFmtId="0" fontId="113" fillId="32" borderId="1" applyAlignment="1" pivotButton="0" quotePrefix="0" xfId="0">
      <alignment horizontal="left" vertical="center" wrapText="1"/>
    </xf>
    <xf numFmtId="0" fontId="112" fillId="3" borderId="1" applyAlignment="1" pivotButton="0" quotePrefix="0" xfId="0">
      <alignment horizontal="left" vertical="center" wrapText="1"/>
    </xf>
    <xf numFmtId="0" fontId="106" fillId="24" borderId="1" applyAlignment="1" pivotButton="0" quotePrefix="0" xfId="0">
      <alignment horizontal="left" vertical="center" wrapText="1"/>
    </xf>
    <xf numFmtId="0" fontId="114" fillId="3" borderId="1" applyAlignment="1" pivotButton="0" quotePrefix="0" xfId="0">
      <alignment horizontal="left" vertical="center" wrapText="1"/>
    </xf>
    <xf numFmtId="0" fontId="114" fillId="24" borderId="1" applyAlignment="1" pivotButton="0" quotePrefix="0" xfId="0">
      <alignment horizontal="left" vertical="center" wrapText="1"/>
    </xf>
    <xf numFmtId="0" fontId="7" fillId="33" borderId="1" applyAlignment="1" pivotButton="0" quotePrefix="0" xfId="0">
      <alignment horizontal="center" vertical="center" wrapText="1"/>
    </xf>
    <xf numFmtId="0" fontId="62" fillId="33" borderId="1" applyAlignment="1" pivotButton="0" quotePrefix="0" xfId="0">
      <alignment horizontal="left" vertical="center" wrapText="1"/>
    </xf>
    <xf numFmtId="0" fontId="92" fillId="33" borderId="1" applyAlignment="1" pivotButton="0" quotePrefix="0" xfId="0">
      <alignment horizontal="left" vertical="center" wrapText="1"/>
    </xf>
    <xf numFmtId="0" fontId="84" fillId="33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/>
    </xf>
    <xf numFmtId="0" fontId="30" fillId="20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18" fillId="18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left" vertical="center"/>
    </xf>
    <xf numFmtId="0" fontId="88" fillId="34" borderId="1" applyAlignment="1" pivotButton="0" quotePrefix="0" xfId="0">
      <alignment horizontal="left" vertical="center" wrapText="1"/>
    </xf>
    <xf numFmtId="0" fontId="110" fillId="34" borderId="1" applyAlignment="1" pivotButton="0" quotePrefix="0" xfId="0">
      <alignment horizontal="left" vertical="center" wrapText="1"/>
    </xf>
    <xf numFmtId="0" fontId="115" fillId="15" borderId="1" applyAlignment="1" pivotButton="0" quotePrefix="0" xfId="0">
      <alignment horizontal="center" vertical="center" wrapText="1"/>
    </xf>
    <xf numFmtId="0" fontId="41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116" fillId="21" borderId="1" applyAlignment="1" pivotButton="0" quotePrefix="0" xfId="0">
      <alignment horizontal="left" vertical="center" wrapText="1"/>
    </xf>
    <xf numFmtId="0" fontId="104" fillId="34" borderId="1" applyAlignment="1" pivotButton="0" quotePrefix="0" xfId="0">
      <alignment horizontal="center" vertical="center" wrapText="1"/>
    </xf>
    <xf numFmtId="0" fontId="96" fillId="34" borderId="1" applyAlignment="1" pivotButton="0" quotePrefix="0" xfId="0">
      <alignment horizontal="center" vertical="center" wrapText="1"/>
    </xf>
    <xf numFmtId="0" fontId="116" fillId="34" borderId="1" applyAlignment="1" pivotButton="0" quotePrefix="0" xfId="0">
      <alignment horizontal="left" vertical="center" wrapText="1"/>
    </xf>
    <xf numFmtId="0" fontId="116" fillId="20" borderId="1" applyAlignment="1" pivotButton="0" quotePrefix="0" xfId="0">
      <alignment horizontal="left" vertical="center" wrapText="1"/>
    </xf>
    <xf numFmtId="0" fontId="116" fillId="17" borderId="1" applyAlignment="1" pivotButton="0" quotePrefix="0" xfId="0">
      <alignment horizontal="left" vertical="center" wrapText="1"/>
    </xf>
    <xf numFmtId="0" fontId="101" fillId="32" borderId="1" applyAlignment="1" pivotButton="0" quotePrefix="0" xfId="0">
      <alignment horizontal="center" vertical="center" wrapText="1"/>
    </xf>
    <xf numFmtId="0" fontId="116" fillId="32" borderId="1" applyAlignment="1" pivotButton="0" quotePrefix="0" xfId="0">
      <alignment horizontal="left" vertical="center" wrapText="1"/>
    </xf>
    <xf numFmtId="0" fontId="116" fillId="16" borderId="1" applyAlignment="1" pivotButton="0" quotePrefix="0" xfId="0">
      <alignment horizontal="left" vertical="center" wrapText="1"/>
    </xf>
    <xf numFmtId="0" fontId="116" fillId="22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/>
    </xf>
    <xf numFmtId="0" fontId="75" fillId="34" borderId="1" applyAlignment="1" pivotButton="0" quotePrefix="0" xfId="0">
      <alignment horizontal="center" vertical="center" wrapText="1"/>
    </xf>
    <xf numFmtId="9" fontId="104" fillId="34" borderId="1" applyAlignment="1" pivotButton="0" quotePrefix="0" xfId="0">
      <alignment horizontal="center" vertical="center" wrapText="1"/>
    </xf>
    <xf numFmtId="0" fontId="117" fillId="34" borderId="1" applyAlignment="1" pivotButton="0" quotePrefix="0" xfId="0">
      <alignment horizontal="left" vertical="center"/>
    </xf>
    <xf numFmtId="0" fontId="30" fillId="20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75" fillId="32" borderId="1" applyAlignment="1" pivotButton="0" quotePrefix="0" xfId="0">
      <alignment horizontal="center" vertical="center" wrapText="1"/>
    </xf>
    <xf numFmtId="9" fontId="102" fillId="32" borderId="1" applyAlignment="1" pivotButton="0" quotePrefix="0" xfId="0">
      <alignment horizontal="center" vertical="center" wrapText="1"/>
    </xf>
    <xf numFmtId="0" fontId="118" fillId="32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left" vertical="center"/>
    </xf>
    <xf numFmtId="0" fontId="119" fillId="33" borderId="0" applyAlignment="1" pivotButton="0" quotePrefix="0" xfId="0">
      <alignment horizontal="left" vertical="center" wrapText="1"/>
    </xf>
    <xf numFmtId="0" fontId="110" fillId="35" borderId="1" applyAlignment="1" pivotButton="0" quotePrefix="0" xfId="0">
      <alignment horizontal="left" vertical="center" wrapText="1"/>
    </xf>
    <xf numFmtId="0" fontId="96" fillId="35" borderId="1" applyAlignment="1" pivotButton="0" quotePrefix="0" xfId="0">
      <alignment horizontal="left" vertical="center" wrapText="1"/>
    </xf>
    <xf numFmtId="0" fontId="88" fillId="24" borderId="1" applyAlignment="1" pivotButton="0" quotePrefix="0" xfId="0">
      <alignment horizontal="left" vertical="center" wrapText="1"/>
    </xf>
    <xf numFmtId="0" fontId="96" fillId="24" borderId="1" applyAlignment="1" pivotButton="0" quotePrefix="0" xfId="0">
      <alignment horizontal="left" vertical="center" wrapText="1"/>
    </xf>
    <xf numFmtId="0" fontId="104" fillId="33" borderId="1" applyAlignment="1" pivotButton="0" quotePrefix="0" xfId="0">
      <alignment horizontal="center" vertical="center" wrapText="1"/>
    </xf>
    <xf numFmtId="0" fontId="88" fillId="33" borderId="1" applyAlignment="1" pivotButton="0" quotePrefix="0" xfId="0">
      <alignment horizontal="left" vertical="center" wrapText="1"/>
    </xf>
    <xf numFmtId="0" fontId="96" fillId="33" borderId="1" applyAlignment="1" pivotButton="0" quotePrefix="0" xfId="0">
      <alignment horizontal="left" vertical="center" wrapText="1"/>
    </xf>
    <xf numFmtId="0" fontId="107" fillId="33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/>
    </xf>
    <xf numFmtId="0" fontId="117" fillId="34" borderId="1" applyAlignment="1" pivotButton="0" quotePrefix="0" xfId="0">
      <alignment horizontal="left" vertical="center"/>
    </xf>
    <xf numFmtId="0" fontId="30" fillId="20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118" fillId="32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center"/>
    </xf>
    <xf numFmtId="0" fontId="117" fillId="34" borderId="1" applyAlignment="1" pivotButton="0" quotePrefix="0" xfId="0">
      <alignment horizontal="left" vertical="center"/>
    </xf>
    <xf numFmtId="0" fontId="30" fillId="20" borderId="1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118" fillId="32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44" t="inlineStr">
        <is>
          <t>Dal Find Your Path — Archetype Ideal Profiles (accumulated-total scale)</t>
        </is>
      </c>
    </row>
    <row r="2" ht="28" customHeight="1">
      <c r="A2" s="245" t="inlineStr">
        <is>
          <t>STRUCTURAL FIX: Ideal scores now expressed in accumulated-total units (sum across 10 trait questions), not on an abstract 0-4 scale. This ensures the Euclidean distance calculation uses consistent units. Yellow cells are adjustable. Typical per-question max is 4; totals across 10 questions range 0-40 per dim.</t>
        </is>
      </c>
    </row>
    <row r="3" ht="16" customHeight="1">
      <c r="A3" s="67" t="inlineStr">
        <is>
          <t>Dimension reference</t>
        </is>
      </c>
    </row>
    <row r="4">
      <c r="A4" s="2" t="inlineStr">
        <is>
          <t>Code</t>
        </is>
      </c>
      <c r="B4" s="2" t="inlineStr">
        <is>
          <t>Dimension</t>
        </is>
      </c>
      <c r="C4" s="2" t="inlineStr">
        <is>
          <t>Grounding</t>
        </is>
      </c>
      <c r="D4" s="2" t="inlineStr">
        <is>
          <t>Description</t>
        </is>
      </c>
    </row>
    <row r="5" ht="20" customHeight="1">
      <c r="A5" s="186" t="inlineStr">
        <is>
          <t>ANL</t>
        </is>
      </c>
      <c r="B5" s="140" t="inlineStr">
        <is>
          <t>Analytical</t>
        </is>
      </c>
      <c r="C5" s="140" t="inlineStr">
        <is>
          <t>Big Five: Conscientiousness | Holland: Investigative/Conventional</t>
        </is>
      </c>
      <c r="D5" s="140" t="inlineStr">
        <is>
          <t>Score range 0-40 across 10 trait questions</t>
        </is>
      </c>
    </row>
    <row r="6" ht="20" customHeight="1">
      <c r="A6" s="405" t="inlineStr">
        <is>
          <t>CON</t>
        </is>
      </c>
      <c r="B6" s="406" t="inlineStr">
        <is>
          <t>Concrete/Applied</t>
        </is>
      </c>
      <c r="C6" s="406" t="inlineStr">
        <is>
          <t>Big Five: Openness low-ideas | Holland: Realistic</t>
        </is>
      </c>
      <c r="D6" s="406" t="inlineStr">
        <is>
          <t>Score range 0-40 across 10 trait questions</t>
        </is>
      </c>
    </row>
    <row r="7" ht="20" customHeight="1">
      <c r="A7" s="190" t="inlineStr">
        <is>
          <t>CRE</t>
        </is>
      </c>
      <c r="B7" s="141" t="inlineStr">
        <is>
          <t>Creative/Expressive</t>
        </is>
      </c>
      <c r="C7" s="141" t="inlineStr">
        <is>
          <t>Big Five: Openness aesthetics | Holland: Artistic</t>
        </is>
      </c>
      <c r="D7" s="141" t="inlineStr">
        <is>
          <t>Score range 0-40 across 10 trait questions</t>
        </is>
      </c>
    </row>
    <row r="8" ht="20" customHeight="1">
      <c r="A8" s="194" t="inlineStr">
        <is>
          <t>SOC</t>
        </is>
      </c>
      <c r="B8" s="142" t="inlineStr">
        <is>
          <t>Social/Relational</t>
        </is>
      </c>
      <c r="C8" s="142" t="inlineStr">
        <is>
          <t>Big Five: Agreeableness | Holland: Social</t>
        </is>
      </c>
      <c r="D8" s="142" t="inlineStr">
        <is>
          <t>Score range 0-40 across 10 trait questions</t>
        </is>
      </c>
    </row>
    <row r="9" ht="20" customHeight="1">
      <c r="A9" s="355" t="inlineStr">
        <is>
          <t>EXP</t>
        </is>
      </c>
      <c r="B9" s="367" t="inlineStr">
        <is>
          <t>Expressive/Communicative</t>
        </is>
      </c>
      <c r="C9" s="367" t="inlineStr">
        <is>
          <t>Big Five: Extraversion assertiveness | Holland: Artistic-Social</t>
        </is>
      </c>
      <c r="D9" s="367" t="inlineStr">
        <is>
          <t>Score range 0-40 across 10 trait questions</t>
        </is>
      </c>
    </row>
    <row r="10" ht="20" customHeight="1">
      <c r="A10" s="202" t="inlineStr">
        <is>
          <t>LED</t>
        </is>
      </c>
      <c r="B10" s="144" t="inlineStr">
        <is>
          <t>Leadership/Strategic</t>
        </is>
      </c>
      <c r="C10" s="144" t="inlineStr">
        <is>
          <t>Big Five: Extraversion + low Agree. | Holland: Enterprising</t>
        </is>
      </c>
      <c r="D10" s="144" t="inlineStr">
        <is>
          <t>Score range 0-40 across 10 trait questions</t>
        </is>
      </c>
    </row>
    <row r="11" ht="20" customHeight="1">
      <c r="A11" s="206" t="inlineStr">
        <is>
          <t>INV</t>
        </is>
      </c>
      <c r="B11" s="145" t="inlineStr">
        <is>
          <t>Investigative/Scientific</t>
        </is>
      </c>
      <c r="C11" s="145" t="inlineStr">
        <is>
          <t>Big Five: Openness ideas | Holland: Investigative</t>
        </is>
      </c>
      <c r="D11" s="145" t="inlineStr">
        <is>
          <t>Score range 0-40 across 10 trait questions</t>
        </is>
      </c>
    </row>
    <row r="13" ht="16" customHeight="1">
      <c r="A13" s="67" t="inlineStr">
        <is>
          <t>Archetype ideal profiles (accumulated-total scale)</t>
        </is>
      </c>
    </row>
    <row r="14" ht="28" customHeight="1">
      <c r="A14" s="2" t="inlineStr">
        <is>
          <t>Code</t>
        </is>
      </c>
      <c r="B14" s="2" t="inlineStr">
        <is>
          <t>Dimension</t>
        </is>
      </c>
      <c r="C14" s="2" t="inlineStr">
        <is>
          <t>Type</t>
        </is>
      </c>
      <c r="D14" s="2" t="inlineStr">
        <is>
          <t>Note →</t>
        </is>
      </c>
      <c r="E14" s="312" t="inlineStr">
        <is>
          <t>Curious Mind</t>
        </is>
      </c>
      <c r="F14" s="313" t="inlineStr">
        <is>
          <t>Bold Inventor</t>
        </is>
      </c>
      <c r="G14" s="314" t="inlineStr">
        <is>
          <t>Digital Native</t>
        </is>
      </c>
      <c r="H14" s="315" t="inlineStr">
        <is>
          <t>Place Maker</t>
        </is>
      </c>
      <c r="I14" s="316" t="inlineStr">
        <is>
          <t>Earth Keeper</t>
        </is>
      </c>
      <c r="J14" s="317" t="inlineStr">
        <is>
          <t>Natural Explorer</t>
        </is>
      </c>
      <c r="K14" s="318" t="inlineStr">
        <is>
          <t>Caring Healer</t>
        </is>
      </c>
      <c r="L14" s="319" t="inlineStr">
        <is>
          <t>Results Driver</t>
        </is>
      </c>
      <c r="M14" s="320" t="inlineStr">
        <is>
          <t>Civic Thinker</t>
        </is>
      </c>
      <c r="N14" s="321" t="inlineStr">
        <is>
          <t>Creative Soul</t>
        </is>
      </c>
    </row>
    <row r="15" ht="40" customHeight="1">
      <c r="A15" s="407" t="inlineStr">
        <is>
          <t>—</t>
        </is>
      </c>
      <c r="B15" s="408" t="inlineStr">
        <is>
          <t>Tagline</t>
        </is>
      </c>
      <c r="C15" s="409" t="n"/>
      <c r="D15" s="409" t="n"/>
      <c r="E15" s="323" t="inlineStr">
        <is>
          <t>You pursue questions until you find the answer — then you find a better question.</t>
        </is>
      </c>
      <c r="F15" s="324" t="inlineStr">
        <is>
          <t>You're not satisfied until an idea becomes something real that works.</t>
        </is>
      </c>
      <c r="G15" s="325" t="inlineStr">
        <is>
          <t>You see the logic underneath everything and build systems that think.</t>
        </is>
      </c>
      <c r="H15" s="326" t="inlineStr">
        <is>
          <t>You imagine what a space could be before anyone else sees it.</t>
        </is>
      </c>
      <c r="I15" s="327" t="inlineStr">
        <is>
          <t>You believe the future depends on how we treat living systems.</t>
        </is>
      </c>
      <c r="J15" s="328" t="inlineStr">
        <is>
          <t>You feel most alive outdoors, at sea, or in the field where real systems live.</t>
        </is>
      </c>
      <c r="K15" s="329" t="inlineStr">
        <is>
          <t>You notice when people are struggling and feel called to help them thrive.</t>
        </is>
      </c>
      <c r="L15" s="330" t="inlineStr">
        <is>
          <t>You set a goal, build a plan, and make it happen.</t>
        </is>
      </c>
      <c r="M15" s="331" t="inlineStr">
        <is>
          <t>You want to understand what makes societies work — and fix what doesn't.</t>
        </is>
      </c>
      <c r="N15" s="332" t="inlineStr">
        <is>
          <t>You process the world through expression and make others feel what you feel.</t>
        </is>
      </c>
    </row>
    <row r="16" ht="18" customHeight="1">
      <c r="A16" s="111" t="inlineStr">
        <is>
          <t>ANL</t>
        </is>
      </c>
      <c r="B16" s="186" t="inlineStr">
        <is>
          <t>Analytical</t>
        </is>
      </c>
      <c r="C16" s="333" t="inlineStr">
        <is>
          <t>Latent trait</t>
        </is>
      </c>
      <c r="D16" s="410" t="inlineStr">
        <is>
          <t>Ideal accumulated total (0-40, adjustable)</t>
        </is>
      </c>
      <c r="E16" s="163" t="n">
        <v>25</v>
      </c>
      <c r="F16" s="160" t="n">
        <v>30</v>
      </c>
      <c r="G16" s="162" t="n">
        <v>33</v>
      </c>
      <c r="H16" s="161" t="n">
        <v>12</v>
      </c>
      <c r="I16" s="161" t="n">
        <v>9</v>
      </c>
      <c r="J16" s="161" t="n">
        <v>14</v>
      </c>
      <c r="K16" s="161" t="n">
        <v>3</v>
      </c>
      <c r="L16" s="47" t="n">
        <v>29</v>
      </c>
      <c r="M16" s="161" t="n">
        <v>4</v>
      </c>
      <c r="N16" s="161" t="n">
        <v>4</v>
      </c>
    </row>
    <row r="17" ht="18" customHeight="1">
      <c r="A17" s="411" t="inlineStr">
        <is>
          <t>CON</t>
        </is>
      </c>
      <c r="B17" s="405" t="inlineStr">
        <is>
          <t>Concrete/Applied</t>
        </is>
      </c>
      <c r="C17" s="412" t="inlineStr">
        <is>
          <t>Latent trait</t>
        </is>
      </c>
      <c r="D17" s="413" t="inlineStr">
        <is>
          <t>Ideal accumulated total (0-40, adjustable)</t>
        </is>
      </c>
      <c r="E17" s="161" t="n">
        <v>16</v>
      </c>
      <c r="F17" s="160" t="n">
        <v>25</v>
      </c>
      <c r="G17" s="161" t="n">
        <v>6</v>
      </c>
      <c r="H17" s="161" t="n">
        <v>15</v>
      </c>
      <c r="I17" s="338" t="n">
        <v>33</v>
      </c>
      <c r="J17" s="161" t="n">
        <v>17</v>
      </c>
      <c r="K17" s="161" t="n">
        <v>4</v>
      </c>
      <c r="L17" s="161" t="n">
        <v>5</v>
      </c>
      <c r="M17" s="161" t="n">
        <v>1</v>
      </c>
      <c r="N17" s="161" t="n">
        <v>6</v>
      </c>
    </row>
    <row r="18" ht="18" customHeight="1">
      <c r="A18" s="105" t="inlineStr">
        <is>
          <t>CRE</t>
        </is>
      </c>
      <c r="B18" s="190" t="inlineStr">
        <is>
          <t>Creative/Expressive</t>
        </is>
      </c>
      <c r="C18" s="334" t="inlineStr">
        <is>
          <t>Latent trait</t>
        </is>
      </c>
      <c r="D18" s="414" t="inlineStr">
        <is>
          <t>Ideal accumulated total (0-40, adjustable)</t>
        </is>
      </c>
      <c r="E18" s="161" t="n">
        <v>5</v>
      </c>
      <c r="F18" s="161" t="n">
        <v>11</v>
      </c>
      <c r="G18" s="161" t="n">
        <v>10</v>
      </c>
      <c r="H18" s="165" t="n">
        <v>39</v>
      </c>
      <c r="I18" s="161" t="n">
        <v>9</v>
      </c>
      <c r="J18" s="161" t="n">
        <v>7</v>
      </c>
      <c r="K18" s="161" t="n">
        <v>4</v>
      </c>
      <c r="L18" s="161" t="n">
        <v>6</v>
      </c>
      <c r="M18" s="161" t="n">
        <v>12</v>
      </c>
      <c r="N18" s="335" t="n">
        <v>36</v>
      </c>
    </row>
    <row r="19" ht="18" customHeight="1">
      <c r="A19" s="81" t="inlineStr">
        <is>
          <t>SOC</t>
        </is>
      </c>
      <c r="B19" s="194" t="inlineStr">
        <is>
          <t>Social/Relational</t>
        </is>
      </c>
      <c r="C19" s="336" t="inlineStr">
        <is>
          <t>Latent trait</t>
        </is>
      </c>
      <c r="D19" s="415" t="inlineStr">
        <is>
          <t>Ideal accumulated total (0-40, adjustable)</t>
        </is>
      </c>
      <c r="E19" s="161" t="n">
        <v>1</v>
      </c>
      <c r="F19" s="161" t="n">
        <v>1</v>
      </c>
      <c r="G19" s="161" t="n">
        <v>1</v>
      </c>
      <c r="H19" s="161" t="n">
        <v>5</v>
      </c>
      <c r="I19" s="161" t="n">
        <v>16</v>
      </c>
      <c r="J19" s="161" t="n">
        <v>4</v>
      </c>
      <c r="K19" s="168" t="n">
        <v>36</v>
      </c>
      <c r="L19" s="161" t="n">
        <v>9</v>
      </c>
      <c r="M19" s="167" t="n">
        <v>30</v>
      </c>
      <c r="N19" s="161" t="n">
        <v>12</v>
      </c>
    </row>
    <row r="20" ht="18" customHeight="1">
      <c r="A20" s="370" t="inlineStr">
        <is>
          <t>EXP</t>
        </is>
      </c>
      <c r="B20" s="355" t="inlineStr">
        <is>
          <t>Expressive/Communicative</t>
        </is>
      </c>
      <c r="C20" s="416" t="inlineStr">
        <is>
          <t>Latent trait</t>
        </is>
      </c>
      <c r="D20" s="417" t="inlineStr">
        <is>
          <t>Ideal accumulated total (0-40, adjustable)</t>
        </is>
      </c>
      <c r="E20" s="161" t="n">
        <v>1</v>
      </c>
      <c r="F20" s="161" t="n">
        <v>3</v>
      </c>
      <c r="G20" s="161" t="n">
        <v>1</v>
      </c>
      <c r="H20" s="161" t="n">
        <v>16</v>
      </c>
      <c r="I20" s="161" t="n">
        <v>2</v>
      </c>
      <c r="J20" s="161" t="n">
        <v>1</v>
      </c>
      <c r="K20" s="168" t="n">
        <v>26</v>
      </c>
      <c r="L20" s="161" t="n">
        <v>12</v>
      </c>
      <c r="M20" s="167" t="n">
        <v>31</v>
      </c>
      <c r="N20" s="335" t="n">
        <v>27</v>
      </c>
    </row>
    <row r="21" ht="18" customHeight="1">
      <c r="A21" s="73" t="inlineStr">
        <is>
          <t>LED</t>
        </is>
      </c>
      <c r="B21" s="202" t="inlineStr">
        <is>
          <t>Leadership/Strategic</t>
        </is>
      </c>
      <c r="C21" s="340" t="inlineStr">
        <is>
          <t>Latent trait</t>
        </is>
      </c>
      <c r="D21" s="418" t="inlineStr">
        <is>
          <t>Ideal accumulated total (0-40, adjustable)</t>
        </is>
      </c>
      <c r="E21" s="161" t="n">
        <v>3</v>
      </c>
      <c r="F21" s="161" t="n">
        <v>15</v>
      </c>
      <c r="G21" s="161" t="n">
        <v>8</v>
      </c>
      <c r="H21" s="161" t="n">
        <v>7</v>
      </c>
      <c r="I21" s="161" t="n">
        <v>7</v>
      </c>
      <c r="J21" s="161" t="n">
        <v>2</v>
      </c>
      <c r="K21" s="168" t="n">
        <v>20</v>
      </c>
      <c r="L21" s="47" t="n">
        <v>30</v>
      </c>
      <c r="M21" s="167" t="n">
        <v>27</v>
      </c>
      <c r="N21" s="161" t="n">
        <v>7</v>
      </c>
    </row>
    <row r="22" ht="18" customHeight="1">
      <c r="A22" s="117" t="inlineStr">
        <is>
          <t>INV</t>
        </is>
      </c>
      <c r="B22" s="206" t="inlineStr">
        <is>
          <t>Investigative/Scientific</t>
        </is>
      </c>
      <c r="C22" s="341" t="inlineStr">
        <is>
          <t>Latent trait</t>
        </is>
      </c>
      <c r="D22" s="419" t="inlineStr">
        <is>
          <t>Ideal accumulated total (0-40, adjustable)</t>
        </is>
      </c>
      <c r="E22" s="163" t="n">
        <v>39</v>
      </c>
      <c r="F22" s="160" t="n">
        <v>28</v>
      </c>
      <c r="G22" s="162" t="n">
        <v>32</v>
      </c>
      <c r="H22" s="161" t="n">
        <v>10</v>
      </c>
      <c r="I22" s="161" t="n">
        <v>15</v>
      </c>
      <c r="J22" s="339" t="n">
        <v>34</v>
      </c>
      <c r="K22" s="161" t="n">
        <v>7</v>
      </c>
      <c r="L22" s="161" t="n">
        <v>14</v>
      </c>
      <c r="M22" s="161" t="n">
        <v>3</v>
      </c>
      <c r="N22" s="161" t="n">
        <v>5</v>
      </c>
    </row>
  </sheetData>
  <mergeCells count="4">
    <mergeCell ref="A13:N13"/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56" customWidth="1" min="10" max="10"/>
  </cols>
  <sheetData>
    <row r="1" ht="24" customHeight="1">
      <c r="A1" s="44" t="inlineStr">
        <is>
          <t>Dal Find Your Path — Trait Dimension Theory (Q3C/Q5C/Q6B/Q7 fixed)</t>
        </is>
      </c>
    </row>
    <row r="2" ht="24" customHeight="1">
      <c r="A2" s="245" t="inlineStr">
        <is>
          <t>FIXES: Q3C replaced with 'hands-on project with plants/animals/food' (CON=4,INV=1). Q5C replaced with 'tending and improving something already growing' (CON=3,INV=1). Q6B replaced with 'get your hands on it — try something practical' (CON=3,INV=1). Q7 expanded from 4 to 6 options adding farmer/agronomist (EK) and software/data (DN).</t>
        </is>
      </c>
    </row>
    <row r="3" ht="24" customHeight="1">
      <c r="A3" s="2" t="inlineStr">
        <is>
          <t>Q#</t>
        </is>
      </c>
      <c r="B3" s="2" t="inlineStr">
        <is>
          <t>Answer option</t>
        </is>
      </c>
      <c r="C3" s="111" t="inlineStr">
        <is>
          <t>ANL</t>
        </is>
      </c>
      <c r="D3" s="411" t="inlineStr">
        <is>
          <t>CON</t>
        </is>
      </c>
      <c r="E3" s="105" t="inlineStr">
        <is>
          <t>CRE</t>
        </is>
      </c>
      <c r="F3" s="81" t="inlineStr">
        <is>
          <t>SOC</t>
        </is>
      </c>
      <c r="G3" s="370" t="inlineStr">
        <is>
          <t>EXP</t>
        </is>
      </c>
      <c r="H3" s="73" t="inlineStr">
        <is>
          <t>LED</t>
        </is>
      </c>
      <c r="I3" s="117" t="inlineStr">
        <is>
          <t>INV</t>
        </is>
      </c>
      <c r="J3" s="2" t="inlineStr">
        <is>
          <t>Rationale</t>
        </is>
      </c>
    </row>
    <row r="4" ht="28" customHeight="1">
      <c r="A4" s="45" t="n">
        <v>1</v>
      </c>
      <c r="B4" s="149" t="inlineStr">
        <is>
          <t>Q1: Which school subjects do you enjoy most?
A. English, art, drama, or music</t>
        </is>
      </c>
      <c r="C4" s="151" t="inlineStr">
        <is>
          <t>·</t>
        </is>
      </c>
      <c r="D4" s="151" t="inlineStr">
        <is>
          <t>·</t>
        </is>
      </c>
      <c r="E4" s="105" t="n">
        <v>4</v>
      </c>
      <c r="F4" s="153" t="n">
        <v>1</v>
      </c>
      <c r="G4" s="370" t="n">
        <v>3</v>
      </c>
      <c r="H4" s="151" t="inlineStr">
        <is>
          <t>·</t>
        </is>
      </c>
      <c r="I4" s="151" t="inlineStr">
        <is>
          <t>·</t>
        </is>
      </c>
      <c r="J4" s="392" t="inlineStr">
        <is>
          <t>Strongly creative/expressive. Slight social.</t>
        </is>
      </c>
    </row>
    <row r="5" ht="28" customHeight="1">
      <c r="B5" s="432" t="inlineStr">
        <is>
          <t xml:space="preserve">  B. Biology, ecology, or agricultural science</t>
        </is>
      </c>
      <c r="C5" s="153" t="n">
        <v>1</v>
      </c>
      <c r="D5" s="411" t="n">
        <v>3</v>
      </c>
      <c r="E5" s="151" t="inlineStr">
        <is>
          <t>·</t>
        </is>
      </c>
      <c r="F5" s="152" t="n">
        <v>2</v>
      </c>
      <c r="G5" s="151" t="inlineStr">
        <is>
          <t>·</t>
        </is>
      </c>
      <c r="H5" s="151" t="inlineStr">
        <is>
          <t>·</t>
        </is>
      </c>
      <c r="I5" s="152" t="n">
        <v>2</v>
      </c>
      <c r="J5" s="433" t="inlineStr">
        <is>
          <t>[EK] Moderate CON (applied living systems) and INV. Moderate social. Pulls EK over NE — CON=3 but INV only 2.</t>
        </is>
      </c>
    </row>
    <row r="6" ht="28" customHeight="1">
      <c r="B6" s="295" t="inlineStr">
        <is>
          <t xml:space="preserve">  C. Chemistry, physics, or mathematics</t>
        </is>
      </c>
      <c r="C6" s="111" t="n">
        <v>4</v>
      </c>
      <c r="D6" s="153" t="n">
        <v>1</v>
      </c>
      <c r="E6" s="151" t="inlineStr">
        <is>
          <t>·</t>
        </is>
      </c>
      <c r="F6" s="151" t="inlineStr">
        <is>
          <t>·</t>
        </is>
      </c>
      <c r="G6" s="151" t="inlineStr">
        <is>
          <t>·</t>
        </is>
      </c>
      <c r="H6" s="151" t="inlineStr">
        <is>
          <t>·</t>
        </is>
      </c>
      <c r="I6" s="117" t="n">
        <v>4</v>
      </c>
      <c r="J6" s="342" t="inlineStr">
        <is>
          <t>Strongly analytical and INV. Low CON (abstract).</t>
        </is>
      </c>
    </row>
    <row r="7" ht="28" customHeight="1">
      <c r="B7" s="155" t="inlineStr">
        <is>
          <t xml:space="preserve">  D. Computer science or data science</t>
        </is>
      </c>
      <c r="C7" s="111" t="n">
        <v>4</v>
      </c>
      <c r="D7" s="151" t="inlineStr">
        <is>
          <t>·</t>
        </is>
      </c>
      <c r="E7" s="153" t="n">
        <v>1</v>
      </c>
      <c r="F7" s="151" t="inlineStr">
        <is>
          <t>·</t>
        </is>
      </c>
      <c r="G7" s="151" t="inlineStr">
        <is>
          <t>·</t>
        </is>
      </c>
      <c r="H7" s="153" t="n">
        <v>1</v>
      </c>
      <c r="I7" s="117" t="n">
        <v>3</v>
      </c>
      <c r="J7" s="343" t="inlineStr">
        <is>
          <t>Strongly analytical. Strong INV. Zero CON.</t>
        </is>
      </c>
    </row>
    <row r="8" ht="28" customHeight="1">
      <c r="B8" s="432" t="inlineStr">
        <is>
          <t xml:space="preserve">  E. Geography, earth, or environmental science</t>
        </is>
      </c>
      <c r="C8" s="153" t="n">
        <v>1</v>
      </c>
      <c r="D8" s="152" t="n">
        <v>2</v>
      </c>
      <c r="E8" s="153" t="n">
        <v>1</v>
      </c>
      <c r="F8" s="153" t="n">
        <v>1</v>
      </c>
      <c r="G8" s="151" t="inlineStr">
        <is>
          <t>·</t>
        </is>
      </c>
      <c r="H8" s="151" t="inlineStr">
        <is>
          <t>·</t>
        </is>
      </c>
      <c r="I8" s="117" t="n">
        <v>4</v>
      </c>
      <c r="J8" s="433" t="inlineStr">
        <is>
          <t>[NE] Strongly INV (field science). Moderate CON. Pulls NE not EK.</t>
        </is>
      </c>
    </row>
    <row r="9" ht="28" customHeight="1">
      <c r="A9" s="177" t="n">
        <v>2</v>
      </c>
      <c r="B9" s="149" t="inlineStr">
        <is>
          <t>Q2: Which challenge would you be most excited to take on?
A. Making a product or system work better or faster</t>
        </is>
      </c>
      <c r="C9" s="111" t="n">
        <v>3</v>
      </c>
      <c r="D9" s="152" t="n">
        <v>2</v>
      </c>
      <c r="E9" s="153" t="n">
        <v>1</v>
      </c>
      <c r="F9" s="151" t="inlineStr">
        <is>
          <t>·</t>
        </is>
      </c>
      <c r="G9" s="151" t="inlineStr">
        <is>
          <t>·</t>
        </is>
      </c>
      <c r="H9" s="152" t="n">
        <v>2</v>
      </c>
      <c r="I9" s="117" t="n">
        <v>3</v>
      </c>
      <c r="J9" s="392" t="inlineStr">
        <is>
          <t>Strongly analytical/INV. Moderate CON/leadership.</t>
        </is>
      </c>
    </row>
    <row r="10" ht="28" customHeight="1">
      <c r="B10" s="432" t="inlineStr">
        <is>
          <t xml:space="preserve">  B. Improving how we grow food or care for animals and land</t>
        </is>
      </c>
      <c r="C10" s="153" t="n">
        <v>1</v>
      </c>
      <c r="D10" s="411" t="n">
        <v>4</v>
      </c>
      <c r="E10" s="151" t="inlineStr">
        <is>
          <t>·</t>
        </is>
      </c>
      <c r="F10" s="152" t="n">
        <v>2</v>
      </c>
      <c r="G10" s="151" t="inlineStr">
        <is>
          <t>·</t>
        </is>
      </c>
      <c r="H10" s="153" t="n">
        <v>1</v>
      </c>
      <c r="I10" s="153" t="n">
        <v>1</v>
      </c>
      <c r="J10" s="433" t="inlineStr">
        <is>
          <t>[EK] Strongly CON. Moderate social. LOW INV — practical not scientific.</t>
        </is>
      </c>
    </row>
    <row r="11" ht="28" customHeight="1">
      <c r="B11" s="295" t="inlineStr">
        <is>
          <t xml:space="preserve">  C. Advocating loudly for a cause you believe in</t>
        </is>
      </c>
      <c r="C11" s="151" t="inlineStr">
        <is>
          <t>·</t>
        </is>
      </c>
      <c r="D11" s="151" t="inlineStr">
        <is>
          <t>·</t>
        </is>
      </c>
      <c r="E11" s="152" t="n">
        <v>2</v>
      </c>
      <c r="F11" s="81" t="n">
        <v>3</v>
      </c>
      <c r="G11" s="370" t="n">
        <v>4</v>
      </c>
      <c r="H11" s="73" t="n">
        <v>3</v>
      </c>
      <c r="I11" s="151" t="inlineStr">
        <is>
          <t>·</t>
        </is>
      </c>
      <c r="J11" s="342" t="inlineStr">
        <is>
          <t>Strongly expressive/leadership. Strong social. Zero CON.</t>
        </is>
      </c>
    </row>
    <row r="12" ht="28" customHeight="1">
      <c r="B12" s="155" t="inlineStr">
        <is>
          <t xml:space="preserve">  D. Solving a complex coding or data problem</t>
        </is>
      </c>
      <c r="C12" s="111" t="n">
        <v>4</v>
      </c>
      <c r="D12" s="151" t="inlineStr">
        <is>
          <t>·</t>
        </is>
      </c>
      <c r="E12" s="151" t="inlineStr">
        <is>
          <t>·</t>
        </is>
      </c>
      <c r="F12" s="151" t="inlineStr">
        <is>
          <t>·</t>
        </is>
      </c>
      <c r="G12" s="151" t="inlineStr">
        <is>
          <t>·</t>
        </is>
      </c>
      <c r="H12" s="153" t="n">
        <v>1</v>
      </c>
      <c r="I12" s="117" t="n">
        <v>3</v>
      </c>
      <c r="J12" s="343" t="inlineStr">
        <is>
          <t>Strongly analytical. Strong INV. Zero CON.</t>
        </is>
      </c>
    </row>
    <row r="13" ht="28" customHeight="1">
      <c r="B13" s="295" t="inlineStr">
        <is>
          <t xml:space="preserve">  E. Designing a space or place people will love</t>
        </is>
      </c>
      <c r="C13" s="152" t="n">
        <v>2</v>
      </c>
      <c r="D13" s="411" t="n">
        <v>3</v>
      </c>
      <c r="E13" s="105" t="n">
        <v>4</v>
      </c>
      <c r="F13" s="153" t="n">
        <v>1</v>
      </c>
      <c r="G13" s="153" t="n">
        <v>1</v>
      </c>
      <c r="H13" s="153" t="n">
        <v>1</v>
      </c>
      <c r="I13" s="153" t="n">
        <v>1</v>
      </c>
      <c r="J13" s="342" t="inlineStr">
        <is>
          <t>Strongly creative. Strong CON (spatial). Moderate analytical.</t>
        </is>
      </c>
    </row>
    <row r="14" ht="28" customHeight="1">
      <c r="B14" s="155" t="inlineStr">
        <is>
          <t xml:space="preserve">  F. Spotting a gap in a market and building something to fill it</t>
        </is>
      </c>
      <c r="C14" s="111" t="n">
        <v>3</v>
      </c>
      <c r="D14" s="153" t="n">
        <v>1</v>
      </c>
      <c r="E14" s="153" t="n">
        <v>1</v>
      </c>
      <c r="F14" s="153" t="n">
        <v>1</v>
      </c>
      <c r="G14" s="152" t="n">
        <v>2</v>
      </c>
      <c r="H14" s="73" t="n">
        <v>4</v>
      </c>
      <c r="I14" s="153" t="n">
        <v>1</v>
      </c>
      <c r="J14" s="343" t="inlineStr">
        <is>
          <t>Strongly leadership/analytical. Moderate expressive.</t>
        </is>
      </c>
    </row>
    <row r="15" ht="28" customHeight="1">
      <c r="A15" s="45" t="n">
        <v>3</v>
      </c>
      <c r="B15" s="149" t="inlineStr">
        <is>
          <t>Q3: Which school project would you be most proud of?
A. A piece of creative writing, music, or visual art</t>
        </is>
      </c>
      <c r="C15" s="151" t="inlineStr">
        <is>
          <t>·</t>
        </is>
      </c>
      <c r="D15" s="151" t="inlineStr">
        <is>
          <t>·</t>
        </is>
      </c>
      <c r="E15" s="105" t="n">
        <v>4</v>
      </c>
      <c r="F15" s="153" t="n">
        <v>1</v>
      </c>
      <c r="G15" s="152" t="n">
        <v>2</v>
      </c>
      <c r="H15" s="151" t="inlineStr">
        <is>
          <t>·</t>
        </is>
      </c>
      <c r="I15" s="151" t="inlineStr">
        <is>
          <t>·</t>
        </is>
      </c>
      <c r="J15" s="392" t="inlineStr">
        <is>
          <t>Strongly creative. Moderate expressive. Zero CON.</t>
        </is>
      </c>
    </row>
    <row r="16" ht="28" customHeight="1">
      <c r="B16" s="155" t="inlineStr">
        <is>
          <t xml:space="preserve">  B. A science experiment or field research report</t>
        </is>
      </c>
      <c r="C16" s="152" t="n">
        <v>2</v>
      </c>
      <c r="D16" s="152" t="n">
        <v>2</v>
      </c>
      <c r="E16" s="151" t="inlineStr">
        <is>
          <t>·</t>
        </is>
      </c>
      <c r="F16" s="151" t="inlineStr">
        <is>
          <t>·</t>
        </is>
      </c>
      <c r="G16" s="151" t="inlineStr">
        <is>
          <t>·</t>
        </is>
      </c>
      <c r="H16" s="151" t="inlineStr">
        <is>
          <t>·</t>
        </is>
      </c>
      <c r="I16" s="117" t="n">
        <v>4</v>
      </c>
      <c r="J16" s="343" t="inlineStr">
        <is>
          <t>Strongly INV. Moderate analytical/CON. Pulls NE/CM.</t>
        </is>
      </c>
    </row>
    <row r="17" ht="28" customHeight="1">
      <c r="B17" s="432" t="inlineStr">
        <is>
          <t xml:space="preserve">  C. A hands-on project with plants, animals, or food</t>
        </is>
      </c>
      <c r="C17" s="151" t="inlineStr">
        <is>
          <t>·</t>
        </is>
      </c>
      <c r="D17" s="411" t="n">
        <v>4</v>
      </c>
      <c r="E17" s="153" t="n">
        <v>1</v>
      </c>
      <c r="F17" s="152" t="n">
        <v>2</v>
      </c>
      <c r="G17" s="151" t="inlineStr">
        <is>
          <t>·</t>
        </is>
      </c>
      <c r="H17" s="153" t="n">
        <v>1</v>
      </c>
      <c r="I17" s="153" t="n">
        <v>1</v>
      </c>
      <c r="J17" s="433" t="inlineStr">
        <is>
          <t>[EK FIX] Strongly CON (living systems). Moderate social. LOW INV — nurturing/applied not investigative. Critical EK signal in Q3 — previously no such option existed.</t>
        </is>
      </c>
    </row>
    <row r="18" ht="28" customHeight="1">
      <c r="B18" s="155" t="inlineStr">
        <is>
          <t xml:space="preserve">  D. Writing code or building a data model that solves a real problem</t>
        </is>
      </c>
      <c r="C18" s="111" t="n">
        <v>4</v>
      </c>
      <c r="D18" s="151" t="inlineStr">
        <is>
          <t>·</t>
        </is>
      </c>
      <c r="E18" s="153" t="n">
        <v>1</v>
      </c>
      <c r="F18" s="151" t="inlineStr">
        <is>
          <t>·</t>
        </is>
      </c>
      <c r="G18" s="151" t="inlineStr">
        <is>
          <t>·</t>
        </is>
      </c>
      <c r="H18" s="153" t="n">
        <v>1</v>
      </c>
      <c r="I18" s="117" t="n">
        <v>3</v>
      </c>
      <c r="J18" s="343" t="inlineStr">
        <is>
          <t>Strongly analytical. Strong INV. Zero CON. Pulls DN.</t>
        </is>
      </c>
    </row>
    <row r="19" ht="28" customHeight="1">
      <c r="B19" s="295" t="inlineStr">
        <is>
          <t xml:space="preserve">  E. Organising an event or leading a group initiative</t>
        </is>
      </c>
      <c r="C19" s="153" t="n">
        <v>1</v>
      </c>
      <c r="D19" s="151" t="inlineStr">
        <is>
          <t>·</t>
        </is>
      </c>
      <c r="E19" s="153" t="n">
        <v>1</v>
      </c>
      <c r="F19" s="81" t="n">
        <v>3</v>
      </c>
      <c r="G19" s="370" t="n">
        <v>3</v>
      </c>
      <c r="H19" s="73" t="n">
        <v>4</v>
      </c>
      <c r="I19" s="151" t="inlineStr">
        <is>
          <t>·</t>
        </is>
      </c>
      <c r="J19" s="342" t="inlineStr">
        <is>
          <t>Strongly leadership. Strong social/expressive. Zero CON/INV.</t>
        </is>
      </c>
    </row>
    <row r="20" ht="28" customHeight="1">
      <c r="A20" s="177" t="n">
        <v>4</v>
      </c>
      <c r="B20" s="434" t="inlineStr">
        <is>
          <t>Q4: What would you do with an unexpected free afternoon?
A. Go outside — work in a garden, tend animals, or care for something living</t>
        </is>
      </c>
      <c r="C20" s="151" t="inlineStr">
        <is>
          <t>·</t>
        </is>
      </c>
      <c r="D20" s="411" t="n">
        <v>4</v>
      </c>
      <c r="E20" s="153" t="n">
        <v>1</v>
      </c>
      <c r="F20" s="152" t="n">
        <v>2</v>
      </c>
      <c r="G20" s="151" t="inlineStr">
        <is>
          <t>·</t>
        </is>
      </c>
      <c r="H20" s="151" t="inlineStr">
        <is>
          <t>·</t>
        </is>
      </c>
      <c r="I20" s="153" t="n">
        <v>1</v>
      </c>
      <c r="J20" s="435" t="inlineStr">
        <is>
          <t>[EK] Strongly CON (living systems). Moderate social (nurturing). LOW INV — care not curiosity.</t>
        </is>
      </c>
    </row>
    <row r="21" ht="28" customHeight="1">
      <c r="B21" s="155" t="inlineStr">
        <is>
          <t xml:space="preserve">  B. Pull apart something mechanical or electronic to see how it works</t>
        </is>
      </c>
      <c r="C21" s="111" t="n">
        <v>3</v>
      </c>
      <c r="D21" s="411" t="n">
        <v>4</v>
      </c>
      <c r="E21" s="151" t="inlineStr">
        <is>
          <t>·</t>
        </is>
      </c>
      <c r="F21" s="151" t="inlineStr">
        <is>
          <t>·</t>
        </is>
      </c>
      <c r="G21" s="151" t="inlineStr">
        <is>
          <t>·</t>
        </is>
      </c>
      <c r="H21" s="151" t="inlineStr">
        <is>
          <t>·</t>
        </is>
      </c>
      <c r="I21" s="117" t="n">
        <v>4</v>
      </c>
      <c r="J21" s="343" t="inlineStr">
        <is>
          <t>Strongly CON/INV/analytical. Pulls BI not EK.</t>
        </is>
      </c>
    </row>
    <row r="22" ht="28" customHeight="1">
      <c r="B22" s="295" t="inlineStr">
        <is>
          <t xml:space="preserve">  C. Write, draw, play music, or work on a creative project</t>
        </is>
      </c>
      <c r="C22" s="151" t="inlineStr">
        <is>
          <t>·</t>
        </is>
      </c>
      <c r="D22" s="151" t="inlineStr">
        <is>
          <t>·</t>
        </is>
      </c>
      <c r="E22" s="105" t="n">
        <v>4</v>
      </c>
      <c r="F22" s="151" t="inlineStr">
        <is>
          <t>·</t>
        </is>
      </c>
      <c r="G22" s="152" t="n">
        <v>2</v>
      </c>
      <c r="H22" s="151" t="inlineStr">
        <is>
          <t>·</t>
        </is>
      </c>
      <c r="I22" s="153" t="n">
        <v>1</v>
      </c>
      <c r="J22" s="342" t="inlineStr">
        <is>
          <t>Strongly creative. Moderate expressive. Zero CON.</t>
        </is>
      </c>
    </row>
    <row r="23" ht="28" customHeight="1">
      <c r="B23" s="155" t="inlineStr">
        <is>
          <t xml:space="preserve">  D. Call a friend who is going through something hard</t>
        </is>
      </c>
      <c r="C23" s="151" t="inlineStr">
        <is>
          <t>·</t>
        </is>
      </c>
      <c r="D23" s="151" t="inlineStr">
        <is>
          <t>·</t>
        </is>
      </c>
      <c r="E23" s="151" t="inlineStr">
        <is>
          <t>·</t>
        </is>
      </c>
      <c r="F23" s="81" t="n">
        <v>4</v>
      </c>
      <c r="G23" s="152" t="n">
        <v>2</v>
      </c>
      <c r="H23" s="153" t="n">
        <v>1</v>
      </c>
      <c r="I23" s="151" t="inlineStr">
        <is>
          <t>·</t>
        </is>
      </c>
      <c r="J23" s="343" t="inlineStr">
        <is>
          <t>Strongly social. Moderate expressive. Zero CON/INV.</t>
        </is>
      </c>
    </row>
    <row r="24" ht="28" customHeight="1">
      <c r="B24" s="432" t="inlineStr">
        <is>
          <t xml:space="preserve">  E. Go hiking, diving, or exploring somewhere wild</t>
        </is>
      </c>
      <c r="C24" s="151" t="inlineStr">
        <is>
          <t>·</t>
        </is>
      </c>
      <c r="D24" s="411" t="n">
        <v>3</v>
      </c>
      <c r="E24" s="153" t="n">
        <v>1</v>
      </c>
      <c r="F24" s="151" t="inlineStr">
        <is>
          <t>·</t>
        </is>
      </c>
      <c r="G24" s="151" t="inlineStr">
        <is>
          <t>·</t>
        </is>
      </c>
      <c r="H24" s="151" t="inlineStr">
        <is>
          <t>·</t>
        </is>
      </c>
      <c r="I24" s="117" t="n">
        <v>3</v>
      </c>
      <c r="J24" s="433" t="inlineStr">
        <is>
          <t>[NE] Moderate CON/INV. Pulls NE — higher INV than option A.</t>
        </is>
      </c>
    </row>
    <row r="25" ht="28" customHeight="1">
      <c r="B25" s="155" t="inlineStr">
        <is>
          <t xml:space="preserve">  F. Organise something — a plan, a spreadsheet, a side project</t>
        </is>
      </c>
      <c r="C25" s="111" t="n">
        <v>3</v>
      </c>
      <c r="D25" s="153" t="n">
        <v>1</v>
      </c>
      <c r="E25" s="151" t="inlineStr">
        <is>
          <t>·</t>
        </is>
      </c>
      <c r="F25" s="151" t="inlineStr">
        <is>
          <t>·</t>
        </is>
      </c>
      <c r="G25" s="151" t="inlineStr">
        <is>
          <t>·</t>
        </is>
      </c>
      <c r="H25" s="73" t="n">
        <v>4</v>
      </c>
      <c r="I25" s="153" t="n">
        <v>1</v>
      </c>
      <c r="J25" s="343" t="inlineStr">
        <is>
          <t>Strongly leadership/analytical. Pulls RD.</t>
        </is>
      </c>
    </row>
    <row r="26" ht="28" customHeight="1">
      <c r="A26" s="45" t="n">
        <v>5</v>
      </c>
      <c r="B26" s="149" t="inlineStr">
        <is>
          <t>Q5: What motivates you most?
A. Making a discovery or understanding something new</t>
        </is>
      </c>
      <c r="C26" s="152" t="n">
        <v>2</v>
      </c>
      <c r="D26" s="151" t="inlineStr">
        <is>
          <t>·</t>
        </is>
      </c>
      <c r="E26" s="153" t="n">
        <v>1</v>
      </c>
      <c r="F26" s="151" t="inlineStr">
        <is>
          <t>·</t>
        </is>
      </c>
      <c r="G26" s="151" t="inlineStr">
        <is>
          <t>·</t>
        </is>
      </c>
      <c r="H26" s="151" t="inlineStr">
        <is>
          <t>·</t>
        </is>
      </c>
      <c r="I26" s="117" t="n">
        <v>4</v>
      </c>
      <c r="J26" s="392" t="inlineStr">
        <is>
          <t>Strongly INV. Moderate analytical. Zero CON. Pulls NE/CM.</t>
        </is>
      </c>
    </row>
    <row r="27" ht="28" customHeight="1">
      <c r="B27" s="155" t="inlineStr">
        <is>
          <t xml:space="preserve">  B. Helping someone through a difficult time</t>
        </is>
      </c>
      <c r="C27" s="151" t="inlineStr">
        <is>
          <t>·</t>
        </is>
      </c>
      <c r="D27" s="151" t="inlineStr">
        <is>
          <t>·</t>
        </is>
      </c>
      <c r="E27" s="151" t="inlineStr">
        <is>
          <t>·</t>
        </is>
      </c>
      <c r="F27" s="81" t="n">
        <v>4</v>
      </c>
      <c r="G27" s="152" t="n">
        <v>2</v>
      </c>
      <c r="H27" s="153" t="n">
        <v>1</v>
      </c>
      <c r="I27" s="153" t="n">
        <v>1</v>
      </c>
      <c r="J27" s="343" t="inlineStr">
        <is>
          <t>Strongly social. Moderate expressive. Zero CON.</t>
        </is>
      </c>
    </row>
    <row r="28" ht="28" customHeight="1">
      <c r="B28" s="432" t="inlineStr">
        <is>
          <t xml:space="preserve">  C. Tending and improving something that's already growing</t>
        </is>
      </c>
      <c r="C28" s="153" t="n">
        <v>1</v>
      </c>
      <c r="D28" s="411" t="n">
        <v>3</v>
      </c>
      <c r="E28" s="153" t="n">
        <v>1</v>
      </c>
      <c r="F28" s="152" t="n">
        <v>2</v>
      </c>
      <c r="G28" s="151" t="inlineStr">
        <is>
          <t>·</t>
        </is>
      </c>
      <c r="H28" s="153" t="n">
        <v>1</v>
      </c>
      <c r="I28" s="153" t="n">
        <v>1</v>
      </c>
      <c r="J28" s="433" t="inlineStr">
        <is>
          <t>[EK FIX] Moderate CON (applied, stewardship). Moderate social. LOW INV — maintenance/nurturing not discovery. Explicitly captures agricultural/ecological motivation.</t>
        </is>
      </c>
    </row>
    <row r="29" ht="28" customHeight="1">
      <c r="B29" s="155" t="inlineStr">
        <is>
          <t xml:space="preserve">  D. Changing a system or structure that isn't fair</t>
        </is>
      </c>
      <c r="C29" s="153" t="n">
        <v>1</v>
      </c>
      <c r="D29" s="151" t="inlineStr">
        <is>
          <t>·</t>
        </is>
      </c>
      <c r="E29" s="153" t="n">
        <v>1</v>
      </c>
      <c r="F29" s="81" t="n">
        <v>3</v>
      </c>
      <c r="G29" s="370" t="n">
        <v>3</v>
      </c>
      <c r="H29" s="73" t="n">
        <v>4</v>
      </c>
      <c r="I29" s="153" t="n">
        <v>1</v>
      </c>
      <c r="J29" s="343" t="inlineStr">
        <is>
          <t>Strongly leadership. Strong social/expressive. Zero CON.</t>
        </is>
      </c>
    </row>
    <row r="30" ht="28" customHeight="1">
      <c r="B30" s="295" t="inlineStr">
        <is>
          <t xml:space="preserve">  E. Making people see or feel something differently</t>
        </is>
      </c>
      <c r="C30" s="151" t="inlineStr">
        <is>
          <t>·</t>
        </is>
      </c>
      <c r="D30" s="151" t="inlineStr">
        <is>
          <t>·</t>
        </is>
      </c>
      <c r="E30" s="105" t="n">
        <v>3</v>
      </c>
      <c r="F30" s="152" t="n">
        <v>2</v>
      </c>
      <c r="G30" s="370" t="n">
        <v>4</v>
      </c>
      <c r="H30" s="153" t="n">
        <v>1</v>
      </c>
      <c r="I30" s="151" t="inlineStr">
        <is>
          <t>·</t>
        </is>
      </c>
      <c r="J30" s="342" t="inlineStr">
        <is>
          <t>Strongly expressive/creative. Moderate social. Zero CON/INV.</t>
        </is>
      </c>
    </row>
    <row r="31" ht="28" customHeight="1">
      <c r="B31" s="155" t="inlineStr">
        <is>
          <t xml:space="preserve">  F. Growing something — a business, a project, a team</t>
        </is>
      </c>
      <c r="C31" s="152" t="n">
        <v>2</v>
      </c>
      <c r="D31" s="153" t="n">
        <v>1</v>
      </c>
      <c r="E31" s="151" t="inlineStr">
        <is>
          <t>·</t>
        </is>
      </c>
      <c r="F31" s="152" t="n">
        <v>2</v>
      </c>
      <c r="G31" s="152" t="n">
        <v>2</v>
      </c>
      <c r="H31" s="73" t="n">
        <v>4</v>
      </c>
      <c r="I31" s="151" t="inlineStr">
        <is>
          <t>·</t>
        </is>
      </c>
      <c r="J31" s="343" t="inlineStr">
        <is>
          <t>Strongly leadership. Moderate analytical/social/expressive. Slight CON.</t>
        </is>
      </c>
    </row>
    <row r="32" ht="28" customHeight="1">
      <c r="A32" s="177" t="n">
        <v>6</v>
      </c>
      <c r="B32" s="149" t="inlineStr">
        <is>
          <t>Q6: When faced with a problem, you first ...
A. Research it until you understand the underlying cause</t>
        </is>
      </c>
      <c r="C32" s="152" t="n">
        <v>2</v>
      </c>
      <c r="D32" s="151" t="inlineStr">
        <is>
          <t>·</t>
        </is>
      </c>
      <c r="E32" s="151" t="inlineStr">
        <is>
          <t>·</t>
        </is>
      </c>
      <c r="F32" s="151" t="inlineStr">
        <is>
          <t>·</t>
        </is>
      </c>
      <c r="G32" s="151" t="inlineStr">
        <is>
          <t>·</t>
        </is>
      </c>
      <c r="H32" s="151" t="inlineStr">
        <is>
          <t>·</t>
        </is>
      </c>
      <c r="I32" s="117" t="n">
        <v>4</v>
      </c>
      <c r="J32" s="392" t="inlineStr">
        <is>
          <t>Strongly INV. Moderate analytical. Zero CON.</t>
        </is>
      </c>
    </row>
    <row r="33" ht="28" customHeight="1">
      <c r="B33" s="432" t="inlineStr">
        <is>
          <t xml:space="preserve">  B. Get your hands on it — try something practical and adjust from there</t>
        </is>
      </c>
      <c r="C33" s="153" t="n">
        <v>1</v>
      </c>
      <c r="D33" s="411" t="n">
        <v>3</v>
      </c>
      <c r="E33" s="153" t="n">
        <v>1</v>
      </c>
      <c r="F33" s="153" t="n">
        <v>1</v>
      </c>
      <c r="G33" s="151" t="inlineStr">
        <is>
          <t>·</t>
        </is>
      </c>
      <c r="H33" s="153" t="n">
        <v>1</v>
      </c>
      <c r="I33" s="153" t="n">
        <v>1</v>
      </c>
      <c r="J33" s="433" t="inlineStr">
        <is>
          <t>[EK FIX] Moderate CON (hands-on, applied approach). LOW INV — doing before theorising. This is the practical/applied problem-solving style of the Earth Keeper. Slight analytical/social/leadership.</t>
        </is>
      </c>
    </row>
    <row r="34" ht="28" customHeight="1">
      <c r="B34" s="295" t="inlineStr">
        <is>
          <t xml:space="preserve">  C. Write or talk through it to figure out what you think</t>
        </is>
      </c>
      <c r="C34" s="151" t="inlineStr">
        <is>
          <t>·</t>
        </is>
      </c>
      <c r="D34" s="151" t="inlineStr">
        <is>
          <t>·</t>
        </is>
      </c>
      <c r="E34" s="105" t="n">
        <v>3</v>
      </c>
      <c r="F34" s="153" t="n">
        <v>1</v>
      </c>
      <c r="G34" s="370" t="n">
        <v>3</v>
      </c>
      <c r="H34" s="153" t="n">
        <v>1</v>
      </c>
      <c r="I34" s="153" t="n">
        <v>1</v>
      </c>
      <c r="J34" s="342" t="inlineStr">
        <is>
          <t>Strong creative/expressive. Slight social/leadership/INV. Zero CON.</t>
        </is>
      </c>
    </row>
    <row r="35" ht="28" customHeight="1">
      <c r="B35" s="155" t="inlineStr">
        <is>
          <t xml:space="preserve">  D. Talk to the people affected by it</t>
        </is>
      </c>
      <c r="C35" s="151" t="inlineStr">
        <is>
          <t>·</t>
        </is>
      </c>
      <c r="D35" s="151" t="inlineStr">
        <is>
          <t>·</t>
        </is>
      </c>
      <c r="E35" s="151" t="inlineStr">
        <is>
          <t>·</t>
        </is>
      </c>
      <c r="F35" s="81" t="n">
        <v>4</v>
      </c>
      <c r="G35" s="370" t="n">
        <v>3</v>
      </c>
      <c r="H35" s="152" t="n">
        <v>2</v>
      </c>
      <c r="I35" s="153" t="n">
        <v>1</v>
      </c>
      <c r="J35" s="343" t="inlineStr">
        <is>
          <t>Strongly social. Strong expressive. Moderate leadership. Zero CON.</t>
        </is>
      </c>
    </row>
    <row r="36" ht="28" customHeight="1">
      <c r="B36" s="295" t="inlineStr">
        <is>
          <t xml:space="preserve">  E. Break it into logical steps and start executing</t>
        </is>
      </c>
      <c r="C36" s="111" t="n">
        <v>4</v>
      </c>
      <c r="D36" s="153" t="n">
        <v>1</v>
      </c>
      <c r="E36" s="151" t="inlineStr">
        <is>
          <t>·</t>
        </is>
      </c>
      <c r="F36" s="151" t="inlineStr">
        <is>
          <t>·</t>
        </is>
      </c>
      <c r="G36" s="151" t="inlineStr">
        <is>
          <t>·</t>
        </is>
      </c>
      <c r="H36" s="73" t="n">
        <v>3</v>
      </c>
      <c r="I36" s="152" t="n">
        <v>2</v>
      </c>
      <c r="J36" s="342" t="inlineStr">
        <is>
          <t>Strongly analytical. Strong leadership. Moderate INV. Slight CON.</t>
        </is>
      </c>
    </row>
    <row r="37" ht="28" customHeight="1">
      <c r="B37" s="155" t="inlineStr">
        <is>
          <t xml:space="preserve">  F. Look for the pattern — what's working, what isn't, what the data says</t>
        </is>
      </c>
      <c r="C37" s="111" t="n">
        <v>4</v>
      </c>
      <c r="D37" s="151" t="inlineStr">
        <is>
          <t>·</t>
        </is>
      </c>
      <c r="E37" s="151" t="inlineStr">
        <is>
          <t>·</t>
        </is>
      </c>
      <c r="F37" s="151" t="inlineStr">
        <is>
          <t>·</t>
        </is>
      </c>
      <c r="G37" s="151" t="inlineStr">
        <is>
          <t>·</t>
        </is>
      </c>
      <c r="H37" s="152" t="n">
        <v>2</v>
      </c>
      <c r="I37" s="117" t="n">
        <v>3</v>
      </c>
      <c r="J37" s="343" t="inlineStr">
        <is>
          <t>Strongly analytical. Strong INV. Moderate leadership. Zero CON.</t>
        </is>
      </c>
    </row>
    <row r="38" ht="28" customHeight="1">
      <c r="A38" s="177" t="n">
        <v>8</v>
      </c>
      <c r="B38" s="149" t="inlineStr">
        <is>
          <t>Q8: Which of these would you be most proud of doing one day?
A. Publishing research that changes how people think</t>
        </is>
      </c>
      <c r="C38" s="152" t="n">
        <v>2</v>
      </c>
      <c r="D38" s="151" t="inlineStr">
        <is>
          <t>·</t>
        </is>
      </c>
      <c r="E38" s="153" t="n">
        <v>1</v>
      </c>
      <c r="F38" s="153" t="n">
        <v>1</v>
      </c>
      <c r="G38" s="153" t="n">
        <v>1</v>
      </c>
      <c r="H38" s="151" t="inlineStr">
        <is>
          <t>·</t>
        </is>
      </c>
      <c r="I38" s="117" t="n">
        <v>4</v>
      </c>
      <c r="J38" s="392" t="inlineStr">
        <is>
          <t>Strongly INV. Moderate analytical. Zero CON.</t>
        </is>
      </c>
    </row>
    <row r="39" ht="28" customHeight="1">
      <c r="B39" s="155" t="inlineStr">
        <is>
          <t xml:space="preserve">  B. Starting a company or organisation from nothing</t>
        </is>
      </c>
      <c r="C39" s="152" t="n">
        <v>2</v>
      </c>
      <c r="D39" s="153" t="n">
        <v>1</v>
      </c>
      <c r="E39" s="153" t="n">
        <v>1</v>
      </c>
      <c r="F39" s="153" t="n">
        <v>1</v>
      </c>
      <c r="G39" s="152" t="n">
        <v>2</v>
      </c>
      <c r="H39" s="73" t="n">
        <v>4</v>
      </c>
      <c r="I39" s="153" t="n">
        <v>1</v>
      </c>
      <c r="J39" s="343" t="inlineStr">
        <is>
          <t>Strongly leadership. Moderate expressive/analytical.</t>
        </is>
      </c>
    </row>
    <row r="40" ht="28" customHeight="1">
      <c r="B40" s="295" t="inlineStr">
        <is>
          <t xml:space="preserve">  C. Creating art, writing, or music that moves people</t>
        </is>
      </c>
      <c r="C40" s="151" t="inlineStr">
        <is>
          <t>·</t>
        </is>
      </c>
      <c r="D40" s="151" t="inlineStr">
        <is>
          <t>·</t>
        </is>
      </c>
      <c r="E40" s="105" t="n">
        <v>4</v>
      </c>
      <c r="F40" s="152" t="n">
        <v>2</v>
      </c>
      <c r="G40" s="370" t="n">
        <v>4</v>
      </c>
      <c r="H40" s="151" t="inlineStr">
        <is>
          <t>·</t>
        </is>
      </c>
      <c r="I40" s="151" t="inlineStr">
        <is>
          <t>·</t>
        </is>
      </c>
      <c r="J40" s="342" t="inlineStr">
        <is>
          <t>Strongly creative/expressive. Moderate social. Zero CON/INV.</t>
        </is>
      </c>
    </row>
    <row r="41" ht="28" customHeight="1">
      <c r="B41" s="155" t="inlineStr">
        <is>
          <t xml:space="preserve">  D. Improving the health or wellbeing of a community</t>
        </is>
      </c>
      <c r="C41" s="153" t="n">
        <v>1</v>
      </c>
      <c r="D41" s="153" t="n">
        <v>1</v>
      </c>
      <c r="E41" s="151" t="inlineStr">
        <is>
          <t>·</t>
        </is>
      </c>
      <c r="F41" s="81" t="n">
        <v>4</v>
      </c>
      <c r="G41" s="152" t="n">
        <v>2</v>
      </c>
      <c r="H41" s="152" t="n">
        <v>2</v>
      </c>
      <c r="I41" s="153" t="n">
        <v>1</v>
      </c>
      <c r="J41" s="343" t="inlineStr">
        <is>
          <t>Strongly social. Moderate expressive/leadership.</t>
        </is>
      </c>
    </row>
    <row r="42" ht="28" customHeight="1">
      <c r="B42" s="295" t="inlineStr">
        <is>
          <t xml:space="preserve">  E. Designing a building, park, or neighbourhood people love</t>
        </is>
      </c>
      <c r="C42" s="152" t="n">
        <v>2</v>
      </c>
      <c r="D42" s="411" t="n">
        <v>3</v>
      </c>
      <c r="E42" s="105" t="n">
        <v>4</v>
      </c>
      <c r="F42" s="153" t="n">
        <v>1</v>
      </c>
      <c r="G42" s="152" t="n">
        <v>2</v>
      </c>
      <c r="H42" s="153" t="n">
        <v>1</v>
      </c>
      <c r="I42" s="153" t="n">
        <v>1</v>
      </c>
      <c r="J42" s="342" t="inlineStr">
        <is>
          <t>Strongly creative. Strong CON (spatial). Moderate analytical/expressive.</t>
        </is>
      </c>
    </row>
    <row r="43" ht="28" customHeight="1">
      <c r="B43" s="432" t="inlineStr">
        <is>
          <t xml:space="preserve">  F. Restoring or growing something living — a farm, a forest, a fishery</t>
        </is>
      </c>
      <c r="C43" s="153" t="n">
        <v>1</v>
      </c>
      <c r="D43" s="411" t="n">
        <v>4</v>
      </c>
      <c r="E43" s="151" t="inlineStr">
        <is>
          <t>·</t>
        </is>
      </c>
      <c r="F43" s="152" t="n">
        <v>2</v>
      </c>
      <c r="G43" s="151" t="inlineStr">
        <is>
          <t>·</t>
        </is>
      </c>
      <c r="H43" s="153" t="n">
        <v>1</v>
      </c>
      <c r="I43" s="153" t="n">
        <v>1</v>
      </c>
      <c r="J43" s="433" t="inlineStr">
        <is>
          <t>[EK] Strongly CON. Moderate social. LOW INV — stewardship not science.</t>
        </is>
      </c>
    </row>
    <row r="44" ht="28" customHeight="1">
      <c r="A44" s="45" t="n">
        <v>9</v>
      </c>
      <c r="B44" s="149" t="inlineStr">
        <is>
          <t>Q9: Pick the activity you'd most enjoy on a Saturday
A. Taking apart something mechanical to see how it works</t>
        </is>
      </c>
      <c r="C44" s="111" t="n">
        <v>3</v>
      </c>
      <c r="D44" s="411" t="n">
        <v>4</v>
      </c>
      <c r="E44" s="151" t="inlineStr">
        <is>
          <t>·</t>
        </is>
      </c>
      <c r="F44" s="151" t="inlineStr">
        <is>
          <t>·</t>
        </is>
      </c>
      <c r="G44" s="151" t="inlineStr">
        <is>
          <t>·</t>
        </is>
      </c>
      <c r="H44" s="151" t="inlineStr">
        <is>
          <t>·</t>
        </is>
      </c>
      <c r="I44" s="117" t="n">
        <v>4</v>
      </c>
      <c r="J44" s="392" t="inlineStr">
        <is>
          <t>Strongly CON/INV/analytical. Pulls BI not EK.</t>
        </is>
      </c>
    </row>
    <row r="45" ht="28" customHeight="1">
      <c r="B45" s="432" t="inlineStr">
        <is>
          <t xml:space="preserve">  B. Working with animals, plants, or in a garden</t>
        </is>
      </c>
      <c r="C45" s="151" t="inlineStr">
        <is>
          <t>·</t>
        </is>
      </c>
      <c r="D45" s="411" t="n">
        <v>4</v>
      </c>
      <c r="E45" s="153" t="n">
        <v>1</v>
      </c>
      <c r="F45" s="152" t="n">
        <v>2</v>
      </c>
      <c r="G45" s="151" t="inlineStr">
        <is>
          <t>·</t>
        </is>
      </c>
      <c r="H45" s="151" t="inlineStr">
        <is>
          <t>·</t>
        </is>
      </c>
      <c r="I45" s="153" t="n">
        <v>1</v>
      </c>
      <c r="J45" s="433" t="inlineStr">
        <is>
          <t>[EK] Strongly CON. Moderate social. LOW INV — clearest EK signal in Q9.</t>
        </is>
      </c>
    </row>
    <row r="46" ht="28" customHeight="1">
      <c r="B46" s="295" t="inlineStr">
        <is>
          <t xml:space="preserve">  C. Working on a creative project — writing, music, or art</t>
        </is>
      </c>
      <c r="C46" s="151" t="inlineStr">
        <is>
          <t>·</t>
        </is>
      </c>
      <c r="D46" s="151" t="inlineStr">
        <is>
          <t>·</t>
        </is>
      </c>
      <c r="E46" s="105" t="n">
        <v>4</v>
      </c>
      <c r="F46" s="151" t="inlineStr">
        <is>
          <t>·</t>
        </is>
      </c>
      <c r="G46" s="152" t="n">
        <v>2</v>
      </c>
      <c r="H46" s="151" t="inlineStr">
        <is>
          <t>·</t>
        </is>
      </c>
      <c r="I46" s="153" t="n">
        <v>1</v>
      </c>
      <c r="J46" s="342" t="inlineStr">
        <is>
          <t>Strongly creative. Moderate expressive. Zero CON.</t>
        </is>
      </c>
    </row>
    <row r="47" ht="28" customHeight="1">
      <c r="B47" s="155" t="inlineStr">
        <is>
          <t xml:space="preserve">  D. Organising a social event or volunteering</t>
        </is>
      </c>
      <c r="C47" s="151" t="inlineStr">
        <is>
          <t>·</t>
        </is>
      </c>
      <c r="D47" s="151" t="inlineStr">
        <is>
          <t>·</t>
        </is>
      </c>
      <c r="E47" s="151" t="inlineStr">
        <is>
          <t>·</t>
        </is>
      </c>
      <c r="F47" s="81" t="n">
        <v>4</v>
      </c>
      <c r="G47" s="370" t="n">
        <v>3</v>
      </c>
      <c r="H47" s="73" t="n">
        <v>3</v>
      </c>
      <c r="I47" s="151" t="inlineStr">
        <is>
          <t>·</t>
        </is>
      </c>
      <c r="J47" s="343" t="inlineStr">
        <is>
          <t>Strongly social. Strong expressive/leadership. Zero CON/INV.</t>
        </is>
      </c>
    </row>
    <row r="48" ht="28" customHeight="1">
      <c r="B48" s="295" t="inlineStr">
        <is>
          <t xml:space="preserve">  E. Tinkering with code, data, or a personal tech project</t>
        </is>
      </c>
      <c r="C48" s="111" t="n">
        <v>4</v>
      </c>
      <c r="D48" s="151" t="inlineStr">
        <is>
          <t>·</t>
        </is>
      </c>
      <c r="E48" s="153" t="n">
        <v>1</v>
      </c>
      <c r="F48" s="151" t="inlineStr">
        <is>
          <t>·</t>
        </is>
      </c>
      <c r="G48" s="151" t="inlineStr">
        <is>
          <t>·</t>
        </is>
      </c>
      <c r="H48" s="153" t="n">
        <v>1</v>
      </c>
      <c r="I48" s="117" t="n">
        <v>3</v>
      </c>
      <c r="J48" s="342" t="inlineStr">
        <is>
          <t>Strongly analytical. Strong INV. Zero CON. Pulls DN.</t>
        </is>
      </c>
    </row>
    <row r="49" ht="28" customHeight="1">
      <c r="B49" s="432" t="inlineStr">
        <is>
          <t xml:space="preserve">  F. Hiking, diving, or exploring somewhere wild</t>
        </is>
      </c>
      <c r="C49" s="151" t="inlineStr">
        <is>
          <t>·</t>
        </is>
      </c>
      <c r="D49" s="411" t="n">
        <v>3</v>
      </c>
      <c r="E49" s="153" t="n">
        <v>1</v>
      </c>
      <c r="F49" s="151" t="inlineStr">
        <is>
          <t>·</t>
        </is>
      </c>
      <c r="G49" s="151" t="inlineStr">
        <is>
          <t>·</t>
        </is>
      </c>
      <c r="H49" s="151" t="inlineStr">
        <is>
          <t>·</t>
        </is>
      </c>
      <c r="I49" s="152" t="n">
        <v>2</v>
      </c>
      <c r="J49" s="433" t="inlineStr">
        <is>
          <t>[NE] Moderate CON/INV. Slight creative. Pulls NE — lower INV than mechanical.</t>
        </is>
      </c>
    </row>
    <row r="50" ht="28" customHeight="1">
      <c r="A50" s="177" t="n">
        <v>10</v>
      </c>
      <c r="B50" s="149" t="inlineStr">
        <is>
          <t>Q10: Pick the statement that feels most like you
A. "I want to solve problems nobody has solved yet"</t>
        </is>
      </c>
      <c r="C50" s="152" t="n">
        <v>2</v>
      </c>
      <c r="D50" s="151" t="inlineStr">
        <is>
          <t>·</t>
        </is>
      </c>
      <c r="E50" s="153" t="n">
        <v>1</v>
      </c>
      <c r="F50" s="151" t="inlineStr">
        <is>
          <t>·</t>
        </is>
      </c>
      <c r="G50" s="151" t="inlineStr">
        <is>
          <t>·</t>
        </is>
      </c>
      <c r="H50" s="153" t="n">
        <v>1</v>
      </c>
      <c r="I50" s="117" t="n">
        <v>4</v>
      </c>
      <c r="J50" s="392" t="inlineStr">
        <is>
          <t>Strongly INV. Moderate analytical. Zero CON.</t>
        </is>
      </c>
    </row>
    <row r="51" ht="28" customHeight="1">
      <c r="B51" s="155" t="inlineStr">
        <is>
          <t xml:space="preserve">  B. "I want to engineer or build things that work in the physical world"</t>
        </is>
      </c>
      <c r="C51" s="111" t="n">
        <v>4</v>
      </c>
      <c r="D51" s="411" t="n">
        <v>4</v>
      </c>
      <c r="E51" s="153" t="n">
        <v>1</v>
      </c>
      <c r="F51" s="151" t="inlineStr">
        <is>
          <t>·</t>
        </is>
      </c>
      <c r="G51" s="151" t="inlineStr">
        <is>
          <t>·</t>
        </is>
      </c>
      <c r="H51" s="152" t="n">
        <v>2</v>
      </c>
      <c r="I51" s="117" t="n">
        <v>3</v>
      </c>
      <c r="J51" s="343" t="inlineStr">
        <is>
          <t>Strongly ANL/CON. Strong INV. Moderate leadership. Pulls BI.</t>
        </is>
      </c>
    </row>
    <row r="52" ht="28" customHeight="1">
      <c r="B52" s="295" t="inlineStr">
        <is>
          <t xml:space="preserve">  C. "I want to write code or work with data to build something useful"</t>
        </is>
      </c>
      <c r="C52" s="111" t="n">
        <v>4</v>
      </c>
      <c r="D52" s="151" t="inlineStr">
        <is>
          <t>·</t>
        </is>
      </c>
      <c r="E52" s="153" t="n">
        <v>1</v>
      </c>
      <c r="F52" s="151" t="inlineStr">
        <is>
          <t>·</t>
        </is>
      </c>
      <c r="G52" s="151" t="inlineStr">
        <is>
          <t>·</t>
        </is>
      </c>
      <c r="H52" s="153" t="n">
        <v>1</v>
      </c>
      <c r="I52" s="117" t="n">
        <v>3</v>
      </c>
      <c r="J52" s="342" t="inlineStr">
        <is>
          <t>Strongly analytical. Strong INV. Zero CON. Pulls DN.</t>
        </is>
      </c>
    </row>
    <row r="53" ht="28" customHeight="1">
      <c r="B53" s="432" t="inlineStr">
        <is>
          <t xml:space="preserve">  D. "I want to care for and grow living things — animals, plants, land"</t>
        </is>
      </c>
      <c r="C53" s="151" t="inlineStr">
        <is>
          <t>·</t>
        </is>
      </c>
      <c r="D53" s="411" t="n">
        <v>4</v>
      </c>
      <c r="E53" s="151" t="inlineStr">
        <is>
          <t>·</t>
        </is>
      </c>
      <c r="F53" s="81" t="n">
        <v>3</v>
      </c>
      <c r="G53" s="151" t="inlineStr">
        <is>
          <t>·</t>
        </is>
      </c>
      <c r="H53" s="153" t="n">
        <v>1</v>
      </c>
      <c r="I53" s="153" t="n">
        <v>1</v>
      </c>
      <c r="J53" s="433" t="inlineStr">
        <is>
          <t>[EK] Strongly CON/social. LOW INV — stewardship not science. Explicit EK identity.</t>
        </is>
      </c>
    </row>
    <row r="54" ht="28" customHeight="1">
      <c r="B54" s="295" t="inlineStr">
        <is>
          <t xml:space="preserve">  E. "I want to give people a voice or a fair chance"</t>
        </is>
      </c>
      <c r="C54" s="151" t="inlineStr">
        <is>
          <t>·</t>
        </is>
      </c>
      <c r="D54" s="151" t="inlineStr">
        <is>
          <t>·</t>
        </is>
      </c>
      <c r="E54" s="153" t="n">
        <v>1</v>
      </c>
      <c r="F54" s="81" t="n">
        <v>4</v>
      </c>
      <c r="G54" s="370" t="n">
        <v>4</v>
      </c>
      <c r="H54" s="73" t="n">
        <v>3</v>
      </c>
      <c r="I54" s="151" t="inlineStr">
        <is>
          <t>·</t>
        </is>
      </c>
      <c r="J54" s="342" t="inlineStr">
        <is>
          <t>Strongly social/expressive. Strong leadership. Zero CON. Pulls CT.</t>
        </is>
      </c>
    </row>
    <row r="55" ht="28" customHeight="1">
      <c r="B55" s="155" t="inlineStr">
        <is>
          <t xml:space="preserve">  F. "I want to design spaces that shape how people live and move"</t>
        </is>
      </c>
      <c r="C55" s="152" t="n">
        <v>2</v>
      </c>
      <c r="D55" s="411" t="n">
        <v>3</v>
      </c>
      <c r="E55" s="105" t="n">
        <v>4</v>
      </c>
      <c r="F55" s="153" t="n">
        <v>1</v>
      </c>
      <c r="G55" s="152" t="n">
        <v>2</v>
      </c>
      <c r="H55" s="153" t="n">
        <v>1</v>
      </c>
      <c r="I55" s="153" t="n">
        <v>1</v>
      </c>
      <c r="J55" s="343" t="inlineStr">
        <is>
          <t>Strongly creative. Strong CON (spatial). Moderate analytical/expressive. Pulls PM.</t>
        </is>
      </c>
    </row>
    <row r="56" ht="28" customHeight="1">
      <c r="A56" s="45" t="n">
        <v>11</v>
      </c>
      <c r="B56" s="434" t="inlineStr">
        <is>
          <t>Q11: When you imagine your future, what feels most right?
A. Working with animals, crops, or land — caring for living things</t>
        </is>
      </c>
      <c r="C56" s="151" t="inlineStr">
        <is>
          <t>·</t>
        </is>
      </c>
      <c r="D56" s="411" t="n">
        <v>4</v>
      </c>
      <c r="E56" s="151" t="inlineStr">
        <is>
          <t>·</t>
        </is>
      </c>
      <c r="F56" s="81" t="n">
        <v>3</v>
      </c>
      <c r="G56" s="151" t="inlineStr">
        <is>
          <t>·</t>
        </is>
      </c>
      <c r="H56" s="153" t="n">
        <v>1</v>
      </c>
      <c r="I56" s="153" t="n">
        <v>1</v>
      </c>
      <c r="J56" s="435" t="inlineStr">
        <is>
          <t>[EK] Strongly CON/social. LOW INV — stewardship not inquiry. Strongest EK future vision.</t>
        </is>
      </c>
    </row>
    <row r="57" ht="28" customHeight="1">
      <c r="B57" s="432" t="inlineStr">
        <is>
          <t xml:space="preserve">  B. In the field or at sea, investigating how natural systems work</t>
        </is>
      </c>
      <c r="C57" s="152" t="n">
        <v>2</v>
      </c>
      <c r="D57" s="411" t="n">
        <v>3</v>
      </c>
      <c r="E57" s="153" t="n">
        <v>1</v>
      </c>
      <c r="F57" s="151" t="inlineStr">
        <is>
          <t>·</t>
        </is>
      </c>
      <c r="G57" s="151" t="inlineStr">
        <is>
          <t>·</t>
        </is>
      </c>
      <c r="H57" s="151" t="inlineStr">
        <is>
          <t>·</t>
        </is>
      </c>
      <c r="I57" s="117" t="n">
        <v>4</v>
      </c>
      <c r="J57" s="433" t="inlineStr">
        <is>
          <t>[NE] Strongly INV. Moderate CON/analytical. Pulls NE not EK.</t>
        </is>
      </c>
    </row>
    <row r="58" ht="28" customHeight="1">
      <c r="B58" s="295" t="inlineStr">
        <is>
          <t xml:space="preserve">  C. In front of people — speaking, performing, teaching, or leading</t>
        </is>
      </c>
      <c r="C58" s="151" t="inlineStr">
        <is>
          <t>·</t>
        </is>
      </c>
      <c r="D58" s="151" t="inlineStr">
        <is>
          <t>·</t>
        </is>
      </c>
      <c r="E58" s="152" t="n">
        <v>2</v>
      </c>
      <c r="F58" s="81" t="n">
        <v>3</v>
      </c>
      <c r="G58" s="370" t="n">
        <v>4</v>
      </c>
      <c r="H58" s="73" t="n">
        <v>3</v>
      </c>
      <c r="I58" s="151" t="inlineStr">
        <is>
          <t>·</t>
        </is>
      </c>
      <c r="J58" s="342" t="inlineStr">
        <is>
          <t>Strongly expressive. Strong social/leadership. Moderate creative. Zero CON/INV.</t>
        </is>
      </c>
    </row>
    <row r="59" ht="28" customHeight="1">
      <c r="B59" s="155" t="inlineStr">
        <is>
          <t xml:space="preserve">  D. Behind the scenes — designing, building, writing, or making something</t>
        </is>
      </c>
      <c r="C59" s="152" t="n">
        <v>2</v>
      </c>
      <c r="D59" s="152" t="n">
        <v>2</v>
      </c>
      <c r="E59" s="105" t="n">
        <v>4</v>
      </c>
      <c r="F59" s="151" t="inlineStr">
        <is>
          <t>·</t>
        </is>
      </c>
      <c r="G59" s="151" t="inlineStr">
        <is>
          <t>·</t>
        </is>
      </c>
      <c r="H59" s="153" t="n">
        <v>1</v>
      </c>
      <c r="I59" s="152" t="n">
        <v>2</v>
      </c>
      <c r="J59" s="343" t="inlineStr">
        <is>
          <t>Strongly creative. Moderate CON/analytical/INV. Pulls PM/CS.</t>
        </is>
      </c>
    </row>
    <row r="60" ht="28" customHeight="1">
      <c r="B60" s="295" t="inlineStr">
        <is>
          <t xml:space="preserve">  E. Working with people one-on-one to help them through something hard</t>
        </is>
      </c>
      <c r="C60" s="151" t="inlineStr">
        <is>
          <t>·</t>
        </is>
      </c>
      <c r="D60" s="151" t="inlineStr">
        <is>
          <t>·</t>
        </is>
      </c>
      <c r="E60" s="151" t="inlineStr">
        <is>
          <t>·</t>
        </is>
      </c>
      <c r="F60" s="81" t="n">
        <v>4</v>
      </c>
      <c r="G60" s="370" t="n">
        <v>3</v>
      </c>
      <c r="H60" s="153" t="n">
        <v>1</v>
      </c>
      <c r="I60" s="152" t="n">
        <v>2</v>
      </c>
      <c r="J60" s="342" t="inlineStr">
        <is>
          <t>Strongly social. Strong expressive. Moderate INV. Pulls CH.</t>
        </is>
      </c>
    </row>
    <row r="61" ht="28" customHeight="1">
      <c r="B61" s="155" t="inlineStr">
        <is>
          <t xml:space="preserve">  F. Running something — a team, a project, a business, a campaign</t>
        </is>
      </c>
      <c r="C61" s="152" t="n">
        <v>2</v>
      </c>
      <c r="D61" s="151" t="inlineStr">
        <is>
          <t>·</t>
        </is>
      </c>
      <c r="E61" s="151" t="inlineStr">
        <is>
          <t>·</t>
        </is>
      </c>
      <c r="F61" s="152" t="n">
        <v>2</v>
      </c>
      <c r="G61" s="370" t="n">
        <v>3</v>
      </c>
      <c r="H61" s="73" t="n">
        <v>4</v>
      </c>
      <c r="I61" s="151" t="inlineStr">
        <is>
          <t>·</t>
        </is>
      </c>
      <c r="J61" s="343" t="inlineStr">
        <is>
          <t>Strongly leadership. Strong expressive. Moderate analytical/social. Zero CON/INV. Pulls RD.</t>
        </is>
      </c>
    </row>
  </sheetData>
  <mergeCells count="12">
    <mergeCell ref="A1:J1"/>
    <mergeCell ref="A9:A14"/>
    <mergeCell ref="A56:A61"/>
    <mergeCell ref="A26:A31"/>
    <mergeCell ref="A15:A19"/>
    <mergeCell ref="A20:A25"/>
    <mergeCell ref="A38:A43"/>
    <mergeCell ref="A4:A8"/>
    <mergeCell ref="A50:A55"/>
    <mergeCell ref="A2:J2"/>
    <mergeCell ref="A44:A49"/>
    <mergeCell ref="A32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44" t="inlineStr">
        <is>
          <t>Q7 &amp; Q12 Direct Archetype Weights (Q7 expanded to 6 options)</t>
        </is>
      </c>
    </row>
    <row r="2" ht="20" customHeight="1">
      <c r="A2" s="245" t="inlineStr">
        <is>
          <t>Q7 now has 6 options: added 'Farmer/agronomist/vet/land manager' (EK=6 direct points) and 'Software developer/data scientist' (DN=6). Engineer option now BI only. These are declared preferences — bypass trait layer entirely.</t>
        </is>
      </c>
    </row>
    <row r="4" ht="18" customHeight="1">
      <c r="A4" s="285" t="inlineStr">
        <is>
          <t>Q7 — Career aspiration (direct archetype weights, 0-6 scale; 6=strongest signal)</t>
        </is>
      </c>
    </row>
    <row r="5" ht="28" customHeight="1">
      <c r="A5" s="286" t="inlineStr">
        <is>
          <t>Answer option</t>
        </is>
      </c>
      <c r="B5" s="294" t="inlineStr">
        <is>
          <t>Curious Mind</t>
        </is>
      </c>
      <c r="C5" s="288" t="inlineStr">
        <is>
          <t>Bold Inventor</t>
        </is>
      </c>
      <c r="D5" s="293" t="inlineStr">
        <is>
          <t>Digital Native</t>
        </is>
      </c>
      <c r="E5" s="292" t="inlineStr">
        <is>
          <t>Place Maker</t>
        </is>
      </c>
      <c r="F5" s="344" t="inlineStr">
        <is>
          <t>Earth Keeper</t>
        </is>
      </c>
      <c r="G5" s="345" t="inlineStr">
        <is>
          <t>Natural Explorer</t>
        </is>
      </c>
      <c r="H5" s="291" t="inlineStr">
        <is>
          <t>Caring Healer</t>
        </is>
      </c>
      <c r="I5" s="287" t="inlineStr">
        <is>
          <t>Results Driver</t>
        </is>
      </c>
      <c r="J5" s="290" t="inlineStr">
        <is>
          <t>Civic Thinker</t>
        </is>
      </c>
      <c r="K5" s="346" t="inlineStr">
        <is>
          <t>Creative Soul</t>
        </is>
      </c>
    </row>
    <row r="6" ht="20" customHeight="1">
      <c r="A6" s="295" t="inlineStr">
        <is>
          <t>A. Health care professional, therapist, or recreation co-ordinator</t>
        </is>
      </c>
      <c r="B6" s="163" t="n">
        <v>2</v>
      </c>
      <c r="C6" s="296" t="inlineStr"/>
      <c r="D6" s="296" t="inlineStr"/>
      <c r="E6" s="296" t="inlineStr"/>
      <c r="F6" s="338" t="n">
        <v>1</v>
      </c>
      <c r="G6" s="296" t="inlineStr"/>
      <c r="H6" s="168" t="n">
        <v>5</v>
      </c>
      <c r="I6" s="296" t="inlineStr"/>
      <c r="J6" s="296" t="inlineStr"/>
      <c r="K6" s="296" t="inlineStr"/>
    </row>
    <row r="7" ht="20" customHeight="1">
      <c r="A7" s="155" t="inlineStr">
        <is>
          <t>B. Politician, lawyer, or community advocate</t>
        </is>
      </c>
      <c r="B7" s="297" t="inlineStr"/>
      <c r="C7" s="297" t="inlineStr"/>
      <c r="D7" s="297" t="inlineStr"/>
      <c r="E7" s="297" t="inlineStr"/>
      <c r="F7" s="297" t="inlineStr"/>
      <c r="G7" s="297" t="inlineStr"/>
      <c r="H7" s="297" t="inlineStr"/>
      <c r="I7" s="47" t="n">
        <v>2</v>
      </c>
      <c r="J7" s="167" t="n">
        <v>5</v>
      </c>
      <c r="K7" s="335" t="n">
        <v>1</v>
      </c>
    </row>
    <row r="8" ht="20" customHeight="1">
      <c r="A8" s="295" t="inlineStr">
        <is>
          <t>C. Engineer or architect</t>
        </is>
      </c>
      <c r="B8" s="296" t="inlineStr"/>
      <c r="C8" s="160" t="n">
        <v>5</v>
      </c>
      <c r="D8" s="296" t="inlineStr"/>
      <c r="E8" s="165" t="n">
        <v>2</v>
      </c>
      <c r="F8" s="296" t="inlineStr"/>
      <c r="G8" s="296" t="inlineStr"/>
      <c r="H8" s="296" t="inlineStr"/>
      <c r="I8" s="296" t="inlineStr"/>
      <c r="J8" s="296" t="inlineStr"/>
      <c r="K8" s="296" t="inlineStr"/>
    </row>
    <row r="9" ht="20" customHeight="1">
      <c r="A9" s="155" t="inlineStr">
        <is>
          <t>D. Farmer, agronomist, veterinarian, or land/resource manager</t>
        </is>
      </c>
      <c r="B9" s="163" t="n">
        <v>1</v>
      </c>
      <c r="C9" s="297" t="inlineStr"/>
      <c r="D9" s="297" t="inlineStr"/>
      <c r="E9" s="297" t="inlineStr"/>
      <c r="F9" s="338" t="n">
        <v>6</v>
      </c>
      <c r="G9" s="339" t="n">
        <v>2</v>
      </c>
      <c r="H9" s="297" t="inlineStr"/>
      <c r="I9" s="297" t="inlineStr"/>
      <c r="J9" s="297" t="inlineStr"/>
      <c r="K9" s="297" t="inlineStr"/>
    </row>
    <row r="10" ht="20" customHeight="1">
      <c r="A10" s="295" t="inlineStr">
        <is>
          <t>E. Environmental or ocean scientist</t>
        </is>
      </c>
      <c r="B10" s="163" t="n">
        <v>2</v>
      </c>
      <c r="C10" s="296" t="inlineStr"/>
      <c r="D10" s="296" t="inlineStr"/>
      <c r="E10" s="296" t="inlineStr"/>
      <c r="F10" s="338" t="n">
        <v>2</v>
      </c>
      <c r="G10" s="339" t="n">
        <v>5</v>
      </c>
      <c r="H10" s="296" t="inlineStr"/>
      <c r="I10" s="296" t="inlineStr"/>
      <c r="J10" s="296" t="inlineStr"/>
      <c r="K10" s="296" t="inlineStr"/>
    </row>
    <row r="11" ht="20" customHeight="1">
      <c r="A11" s="155" t="inlineStr">
        <is>
          <t>F. Software developer, data scientist, or AI researcher</t>
        </is>
      </c>
      <c r="B11" s="297" t="inlineStr"/>
      <c r="C11" s="160" t="n">
        <v>1</v>
      </c>
      <c r="D11" s="162" t="n">
        <v>6</v>
      </c>
      <c r="E11" s="297" t="inlineStr"/>
      <c r="F11" s="297" t="inlineStr"/>
      <c r="G11" s="297" t="inlineStr"/>
      <c r="H11" s="297" t="inlineStr"/>
      <c r="I11" s="47" t="n">
        <v>1</v>
      </c>
      <c r="J11" s="297" t="inlineStr"/>
      <c r="K11" s="297" t="inlineStr"/>
    </row>
    <row r="13" ht="18" customHeight="1">
      <c r="A13" s="298" t="inlineStr">
        <is>
          <t>Q12 — Work environment preference (direct archetype weights, 0-5 scale)</t>
        </is>
      </c>
    </row>
    <row r="14" ht="28" customHeight="1">
      <c r="A14" s="286" t="inlineStr">
        <is>
          <t>Answer option</t>
        </is>
      </c>
      <c r="B14" s="294" t="inlineStr">
        <is>
          <t>Curious Mind</t>
        </is>
      </c>
      <c r="C14" s="288" t="inlineStr">
        <is>
          <t>Bold Inventor</t>
        </is>
      </c>
      <c r="D14" s="293" t="inlineStr">
        <is>
          <t>Digital Native</t>
        </is>
      </c>
      <c r="E14" s="292" t="inlineStr">
        <is>
          <t>Place Maker</t>
        </is>
      </c>
      <c r="F14" s="344" t="inlineStr">
        <is>
          <t>Earth Keeper</t>
        </is>
      </c>
      <c r="G14" s="345" t="inlineStr">
        <is>
          <t>Natural Explorer</t>
        </is>
      </c>
      <c r="H14" s="291" t="inlineStr">
        <is>
          <t>Caring Healer</t>
        </is>
      </c>
      <c r="I14" s="287" t="inlineStr">
        <is>
          <t>Results Driver</t>
        </is>
      </c>
      <c r="J14" s="290" t="inlineStr">
        <is>
          <t>Civic Thinker</t>
        </is>
      </c>
      <c r="K14" s="346" t="inlineStr">
        <is>
          <t>Creative Soul</t>
        </is>
      </c>
    </row>
    <row r="15" ht="20" customHeight="1">
      <c r="A15" s="295" t="inlineStr">
        <is>
          <t>A. A lab or research facility</t>
        </is>
      </c>
      <c r="B15" s="163" t="n">
        <v>5</v>
      </c>
      <c r="C15" s="160" t="n">
        <v>2</v>
      </c>
      <c r="D15" s="162" t="n">
        <v>2</v>
      </c>
      <c r="E15" s="296" t="inlineStr"/>
      <c r="F15" s="296" t="inlineStr"/>
      <c r="G15" s="296" t="inlineStr"/>
      <c r="H15" s="296" t="inlineStr"/>
      <c r="I15" s="296" t="inlineStr"/>
      <c r="J15" s="296" t="inlineStr"/>
      <c r="K15" s="296" t="inlineStr"/>
    </row>
    <row r="16" ht="20" customHeight="1">
      <c r="A16" s="155" t="inlineStr">
        <is>
          <t>B. A tech company or startup</t>
        </is>
      </c>
      <c r="B16" s="297" t="inlineStr"/>
      <c r="C16" s="160" t="n">
        <v>2</v>
      </c>
      <c r="D16" s="162" t="n">
        <v>5</v>
      </c>
      <c r="E16" s="297" t="inlineStr"/>
      <c r="F16" s="297" t="inlineStr"/>
      <c r="G16" s="297" t="inlineStr"/>
      <c r="H16" s="297" t="inlineStr"/>
      <c r="I16" s="47" t="n">
        <v>2</v>
      </c>
      <c r="J16" s="297" t="inlineStr"/>
      <c r="K16" s="297" t="inlineStr"/>
    </row>
    <row r="17" ht="20" customHeight="1">
      <c r="A17" s="295" t="inlineStr">
        <is>
          <t>C. A studio, agency, or design firm</t>
        </is>
      </c>
      <c r="B17" s="296" t="inlineStr"/>
      <c r="C17" s="296" t="inlineStr"/>
      <c r="D17" s="296" t="inlineStr"/>
      <c r="E17" s="165" t="n">
        <v>4</v>
      </c>
      <c r="F17" s="296" t="inlineStr"/>
      <c r="G17" s="296" t="inlineStr"/>
      <c r="H17" s="296" t="inlineStr"/>
      <c r="I17" s="47" t="n">
        <v>1</v>
      </c>
      <c r="J17" s="296" t="inlineStr"/>
      <c r="K17" s="335" t="n">
        <v>4</v>
      </c>
    </row>
    <row r="18" ht="20" customHeight="1">
      <c r="A18" s="155" t="inlineStr">
        <is>
          <t>D. Outdoors — field, farm, coast, or forest</t>
        </is>
      </c>
      <c r="B18" s="163" t="n">
        <v>1</v>
      </c>
      <c r="C18" s="297" t="inlineStr"/>
      <c r="D18" s="297" t="inlineStr"/>
      <c r="E18" s="297" t="inlineStr"/>
      <c r="F18" s="338" t="n">
        <v>5</v>
      </c>
      <c r="G18" s="339" t="n">
        <v>4</v>
      </c>
      <c r="H18" s="297" t="inlineStr"/>
      <c r="I18" s="297" t="inlineStr"/>
      <c r="J18" s="297" t="inlineStr"/>
      <c r="K18" s="297" t="inlineStr"/>
    </row>
    <row r="19" ht="20" customHeight="1">
      <c r="A19" s="295" t="inlineStr">
        <is>
          <t>E. A hospital, clinic, or community health setting</t>
        </is>
      </c>
      <c r="B19" s="163" t="n">
        <v>2</v>
      </c>
      <c r="C19" s="296" t="inlineStr"/>
      <c r="D19" s="296" t="inlineStr"/>
      <c r="E19" s="296" t="inlineStr"/>
      <c r="F19" s="296" t="inlineStr"/>
      <c r="G19" s="296" t="inlineStr"/>
      <c r="H19" s="168" t="n">
        <v>5</v>
      </c>
      <c r="I19" s="296" t="inlineStr"/>
      <c r="J19" s="167" t="n">
        <v>1</v>
      </c>
      <c r="K19" s="296" t="inlineStr"/>
    </row>
    <row r="20" ht="20" customHeight="1">
      <c r="A20" s="155" t="inlineStr">
        <is>
          <t>F. A boardroom, trading floor, or business office</t>
        </is>
      </c>
      <c r="B20" s="297" t="inlineStr"/>
      <c r="C20" s="160" t="n">
        <v>1</v>
      </c>
      <c r="D20" s="297" t="inlineStr"/>
      <c r="E20" s="297" t="inlineStr"/>
      <c r="F20" s="297" t="inlineStr"/>
      <c r="G20" s="297" t="inlineStr"/>
      <c r="H20" s="297" t="inlineStr"/>
      <c r="I20" s="47" t="n">
        <v>5</v>
      </c>
      <c r="J20" s="167" t="n">
        <v>2</v>
      </c>
      <c r="K20" s="297" t="inlineStr"/>
    </row>
  </sheetData>
  <mergeCells count="4">
    <mergeCell ref="A2:L2"/>
    <mergeCell ref="A13:K13"/>
    <mergeCell ref="A1:L1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1" customWidth="1" min="3" max="3"/>
    <col width="11" customWidth="1" min="4" max="4"/>
    <col width="12" customWidth="1" min="5" max="5"/>
    <col width="10" customWidth="1" min="6" max="6"/>
    <col width="16" customWidth="1" min="7" max="7"/>
    <col width="9" customWidth="1" min="8" max="8"/>
    <col width="22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</cols>
  <sheetData>
    <row r="1" ht="24" customHeight="1">
      <c r="A1" s="44" t="inlineStr">
        <is>
          <t>Dal Find Your Path — Score Simulator (structural fix + Q3/Q5/Q6/Q7 revised)</t>
        </is>
      </c>
    </row>
    <row r="2" ht="20" customHeight="1">
      <c r="A2" s="245" t="inlineStr">
        <is>
          <t>STRUCTURAL FIX: Archetype ideal profiles now in accumulated-total units. Q3C=plants/animals/food(CON=4,INV=1). Q5C=tending/improving(CON=3,INV=1). Q6B=hands-on practical(CON=3,INV=1). Q7 expanded to 6 options.</t>
        </is>
      </c>
    </row>
    <row r="3" ht="22" customHeight="1">
      <c r="A3" s="2" t="inlineStr">
        <is>
          <t>Q#</t>
        </is>
      </c>
      <c r="B3" s="2" t="inlineStr">
        <is>
          <t>Question</t>
        </is>
      </c>
      <c r="C3" s="2" t="inlineStr">
        <is>
          <t>Opt A</t>
        </is>
      </c>
      <c r="D3" s="2" t="inlineStr">
        <is>
          <t>Opt B</t>
        </is>
      </c>
      <c r="E3" s="2" t="inlineStr">
        <is>
          <t>Opt C</t>
        </is>
      </c>
      <c r="F3" s="2" t="inlineStr">
        <is>
          <t>Opt D</t>
        </is>
      </c>
      <c r="G3" s="2" t="inlineStr">
        <is>
          <t>Opt E/F</t>
        </is>
      </c>
      <c r="H3" s="68" t="inlineStr">
        <is>
          <t>Choice</t>
        </is>
      </c>
      <c r="I3" s="2" t="inlineStr">
        <is>
          <t>Type</t>
        </is>
      </c>
    </row>
    <row r="4" ht="32" customHeight="1">
      <c r="A4" s="45" t="n">
        <v>1</v>
      </c>
      <c r="B4" s="175" t="inlineStr">
        <is>
          <t>Which school subjects do you enjoy most?</t>
        </is>
      </c>
      <c r="C4" s="393" t="inlineStr">
        <is>
          <t>A. English, art, drama, or music</t>
        </is>
      </c>
      <c r="D4" s="393" t="inlineStr">
        <is>
          <t>B. Biology, ecology, or agricultural science</t>
        </is>
      </c>
      <c r="E4" s="393" t="inlineStr">
        <is>
          <t>C. Chemistry, physics, or mathematics</t>
        </is>
      </c>
      <c r="F4" s="393" t="inlineStr">
        <is>
          <t>D. Computer science or data science</t>
        </is>
      </c>
      <c r="G4" s="393" t="inlineStr">
        <is>
          <t>E. Geography, earth, or environmental science</t>
        </is>
      </c>
      <c r="H4" s="247" t="inlineStr"/>
      <c r="I4" s="300" t="inlineStr">
        <is>
          <t>Trait</t>
        </is>
      </c>
      <c r="J4" s="301">
        <f>IFERROR(CHOOSE(MATCH(UPPER(G4),{"A","B","C","D","E"},0),0,1,4,4,1),0)</f>
        <v/>
      </c>
      <c r="K4" s="301">
        <f>IFERROR(CHOOSE(MATCH(UPPER(G4),{"A","B","C","D","E"},0),0,3,1,0,2),0)</f>
        <v/>
      </c>
      <c r="L4" s="301">
        <f>IFERROR(CHOOSE(MATCH(UPPER(G4),{"A","B","C","D","E"},0),4,0,0,1,1),0)</f>
        <v/>
      </c>
      <c r="M4" s="301">
        <f>IFERROR(CHOOSE(MATCH(UPPER(G4),{"A","B","C","D","E"},0),1,2,0,0,1),0)</f>
        <v/>
      </c>
      <c r="N4" s="301">
        <f>IFERROR(CHOOSE(MATCH(UPPER(G4),{"A","B","C","D","E"},0),3,0,0,0,0),0)</f>
        <v/>
      </c>
      <c r="O4" s="301">
        <f>IFERROR(CHOOSE(MATCH(UPPER(G4),{"A","B","C","D","E"},0),0,0,0,1,0),0)</f>
        <v/>
      </c>
      <c r="P4" s="301">
        <f>IFERROR(CHOOSE(MATCH(UPPER(G4),{"A","B","C","D","E"},0),0,2,4,3,4),0)</f>
        <v/>
      </c>
    </row>
    <row r="5" ht="32" customHeight="1">
      <c r="A5" s="177" t="n">
        <v>2</v>
      </c>
      <c r="B5" s="149" t="inlineStr">
        <is>
          <t>Which challenge would you be most excited to take on?</t>
        </is>
      </c>
      <c r="C5" s="394" t="inlineStr">
        <is>
          <t>A. Making a product or system work better or faster</t>
        </is>
      </c>
      <c r="D5" s="394" t="inlineStr">
        <is>
          <t>B. Improving how we grow food or care for animals and land</t>
        </is>
      </c>
      <c r="E5" s="394" t="inlineStr">
        <is>
          <t>C. Advocating loudly for a cause you believe in</t>
        </is>
      </c>
      <c r="F5" s="394" t="inlineStr">
        <is>
          <t>D. Solving a complex coding or data problem</t>
        </is>
      </c>
      <c r="G5" s="394" t="inlineStr">
        <is>
          <t>E. Designing a space or place people will love
F. Spotting a gap in a market and building something to fill it</t>
        </is>
      </c>
      <c r="H5" s="247" t="inlineStr"/>
      <c r="I5" s="302" t="inlineStr">
        <is>
          <t>Trait</t>
        </is>
      </c>
      <c r="J5" s="301">
        <f>IFERROR(CHOOSE(MATCH(UPPER(G5),{"A","B","C","D","E","F"},0),3,1,0,4,2,3),0)</f>
        <v/>
      </c>
      <c r="K5" s="301">
        <f>IFERROR(CHOOSE(MATCH(UPPER(G5),{"A","B","C","D","E","F"},0),2,4,0,0,3,1),0)</f>
        <v/>
      </c>
      <c r="L5" s="301">
        <f>IFERROR(CHOOSE(MATCH(UPPER(G5),{"A","B","C","D","E","F"},0),1,0,2,0,4,1),0)</f>
        <v/>
      </c>
      <c r="M5" s="301">
        <f>IFERROR(CHOOSE(MATCH(UPPER(G5),{"A","B","C","D","E","F"},0),0,2,3,0,1,1),0)</f>
        <v/>
      </c>
      <c r="N5" s="301">
        <f>IFERROR(CHOOSE(MATCH(UPPER(G5),{"A","B","C","D","E","F"},0),0,0,4,0,1,2),0)</f>
        <v/>
      </c>
      <c r="O5" s="301">
        <f>IFERROR(CHOOSE(MATCH(UPPER(G5),{"A","B","C","D","E","F"},0),2,1,3,1,1,4),0)</f>
        <v/>
      </c>
      <c r="P5" s="301">
        <f>IFERROR(CHOOSE(MATCH(UPPER(G5),{"A","B","C","D","E","F"},0),3,1,0,3,1,1),0)</f>
        <v/>
      </c>
    </row>
    <row r="6" ht="32" customHeight="1">
      <c r="A6" s="436" t="n">
        <v>3</v>
      </c>
      <c r="B6" s="437" t="inlineStr">
        <is>
          <t>Which school project would you be most proud of?</t>
        </is>
      </c>
      <c r="C6" s="438" t="inlineStr">
        <is>
          <t>A. A piece of creative writing, music, or visual art</t>
        </is>
      </c>
      <c r="D6" s="438" t="inlineStr">
        <is>
          <t>B. A science experiment or field research report</t>
        </is>
      </c>
      <c r="E6" s="438" t="inlineStr">
        <is>
          <t>C. A hands-on project with plants, animals, or food</t>
        </is>
      </c>
      <c r="F6" s="438" t="inlineStr">
        <is>
          <t>D. Writing code or building a data model that solves a real problem</t>
        </is>
      </c>
      <c r="G6" s="438" t="inlineStr">
        <is>
          <t>E. Organising an event or leading a group initiative</t>
        </is>
      </c>
      <c r="H6" s="247" t="inlineStr"/>
      <c r="I6" s="439" t="inlineStr">
        <is>
          <t>Trait (revised)</t>
        </is>
      </c>
      <c r="J6" s="301">
        <f>IFERROR(CHOOSE(MATCH(UPPER(G6),{"A","B","C","D","E"},0),0,2,0,4,1),0)</f>
        <v/>
      </c>
      <c r="K6" s="301">
        <f>IFERROR(CHOOSE(MATCH(UPPER(G6),{"A","B","C","D","E"},0),0,2,4,0,0),0)</f>
        <v/>
      </c>
      <c r="L6" s="301">
        <f>IFERROR(CHOOSE(MATCH(UPPER(G6),{"A","B","C","D","E"},0),4,0,1,1,1),0)</f>
        <v/>
      </c>
      <c r="M6" s="301">
        <f>IFERROR(CHOOSE(MATCH(UPPER(G6),{"A","B","C","D","E"},0),1,0,2,0,3),0)</f>
        <v/>
      </c>
      <c r="N6" s="301">
        <f>IFERROR(CHOOSE(MATCH(UPPER(G6),{"A","B","C","D","E"},0),2,0,0,0,3),0)</f>
        <v/>
      </c>
      <c r="O6" s="301">
        <f>IFERROR(CHOOSE(MATCH(UPPER(G6),{"A","B","C","D","E"},0),0,0,1,1,4),0)</f>
        <v/>
      </c>
      <c r="P6" s="301">
        <f>IFERROR(CHOOSE(MATCH(UPPER(G6),{"A","B","C","D","E"},0),0,4,1,3,0),0)</f>
        <v/>
      </c>
    </row>
    <row r="7" ht="32" customHeight="1">
      <c r="A7" s="177" t="n">
        <v>4</v>
      </c>
      <c r="B7" s="149" t="inlineStr">
        <is>
          <t>What would you do with an unexpected free afternoon?</t>
        </is>
      </c>
      <c r="C7" s="394" t="inlineStr">
        <is>
          <t>A. Go outside — work in a garden, tend animals, or care for something living</t>
        </is>
      </c>
      <c r="D7" s="394" t="inlineStr">
        <is>
          <t>B. Pull apart something mechanical or electronic to see how it works</t>
        </is>
      </c>
      <c r="E7" s="394" t="inlineStr">
        <is>
          <t>C. Write, draw, play music, or work on a creative project</t>
        </is>
      </c>
      <c r="F7" s="394" t="inlineStr">
        <is>
          <t>D. Call a friend who is going through something hard</t>
        </is>
      </c>
      <c r="G7" s="394" t="inlineStr">
        <is>
          <t>E. Go hiking, diving, or exploring somewhere wild
F. Organise something — a plan, a spreadsheet, a side project</t>
        </is>
      </c>
      <c r="H7" s="247" t="inlineStr"/>
      <c r="I7" s="302" t="inlineStr">
        <is>
          <t>Trait</t>
        </is>
      </c>
      <c r="J7" s="301">
        <f>IFERROR(CHOOSE(MATCH(UPPER(G7),{"A","B","C","D","E","F"},0),0,3,0,0,0,3),0)</f>
        <v/>
      </c>
      <c r="K7" s="301">
        <f>IFERROR(CHOOSE(MATCH(UPPER(G7),{"A","B","C","D","E","F"},0),4,4,0,0,3,1),0)</f>
        <v/>
      </c>
      <c r="L7" s="301">
        <f>IFERROR(CHOOSE(MATCH(UPPER(G7),{"A","B","C","D","E","F"},0),1,0,4,0,1,0),0)</f>
        <v/>
      </c>
      <c r="M7" s="301">
        <f>IFERROR(CHOOSE(MATCH(UPPER(G7),{"A","B","C","D","E","F"},0),2,0,0,4,0,0),0)</f>
        <v/>
      </c>
      <c r="N7" s="301">
        <f>IFERROR(CHOOSE(MATCH(UPPER(G7),{"A","B","C","D","E","F"},0),0,0,2,2,0,0),0)</f>
        <v/>
      </c>
      <c r="O7" s="301">
        <f>IFERROR(CHOOSE(MATCH(UPPER(G7),{"A","B","C","D","E","F"},0),0,0,0,1,0,4),0)</f>
        <v/>
      </c>
      <c r="P7" s="301">
        <f>IFERROR(CHOOSE(MATCH(UPPER(G7),{"A","B","C","D","E","F"},0),1,4,1,0,3,1),0)</f>
        <v/>
      </c>
    </row>
    <row r="8" ht="32" customHeight="1">
      <c r="A8" s="436" t="n">
        <v>5</v>
      </c>
      <c r="B8" s="437" t="inlineStr">
        <is>
          <t>What motivates you most?</t>
        </is>
      </c>
      <c r="C8" s="438" t="inlineStr">
        <is>
          <t>A. Making a discovery or understanding something new</t>
        </is>
      </c>
      <c r="D8" s="438" t="inlineStr">
        <is>
          <t>B. Helping someone through a difficult time</t>
        </is>
      </c>
      <c r="E8" s="438" t="inlineStr">
        <is>
          <t>C. Tending and improving something that's already growing</t>
        </is>
      </c>
      <c r="F8" s="438" t="inlineStr">
        <is>
          <t>D. Changing a system or structure that isn't fair</t>
        </is>
      </c>
      <c r="G8" s="438" t="inlineStr">
        <is>
          <t>E. Making people see or feel something differently
F. Growing something — a business, a project, a team</t>
        </is>
      </c>
      <c r="H8" s="247" t="inlineStr"/>
      <c r="I8" s="439" t="inlineStr">
        <is>
          <t>Trait (revised)</t>
        </is>
      </c>
      <c r="J8" s="301">
        <f>IFERROR(CHOOSE(MATCH(UPPER(G8),{"A","B","C","D","E","F"},0),2,0,1,1,0,2),0)</f>
        <v/>
      </c>
      <c r="K8" s="301">
        <f>IFERROR(CHOOSE(MATCH(UPPER(G8),{"A","B","C","D","E","F"},0),0,0,3,0,0,1),0)</f>
        <v/>
      </c>
      <c r="L8" s="301">
        <f>IFERROR(CHOOSE(MATCH(UPPER(G8),{"A","B","C","D","E","F"},0),1,0,1,1,3,0),0)</f>
        <v/>
      </c>
      <c r="M8" s="301">
        <f>IFERROR(CHOOSE(MATCH(UPPER(G8),{"A","B","C","D","E","F"},0),0,4,2,3,2,2),0)</f>
        <v/>
      </c>
      <c r="N8" s="301">
        <f>IFERROR(CHOOSE(MATCH(UPPER(G8),{"A","B","C","D","E","F"},0),0,2,0,3,4,2),0)</f>
        <v/>
      </c>
      <c r="O8" s="301">
        <f>IFERROR(CHOOSE(MATCH(UPPER(G8),{"A","B","C","D","E","F"},0),0,1,1,4,1,4),0)</f>
        <v/>
      </c>
      <c r="P8" s="301">
        <f>IFERROR(CHOOSE(MATCH(UPPER(G8),{"A","B","C","D","E","F"},0),4,1,1,1,0,0),0)</f>
        <v/>
      </c>
    </row>
    <row r="9" ht="32" customHeight="1">
      <c r="A9" s="436" t="n">
        <v>6</v>
      </c>
      <c r="B9" s="437" t="inlineStr">
        <is>
          <t>When faced with a problem, you first ...</t>
        </is>
      </c>
      <c r="C9" s="438" t="inlineStr">
        <is>
          <t>A. Research it until you understand the underlying cause</t>
        </is>
      </c>
      <c r="D9" s="438" t="inlineStr">
        <is>
          <t>B. Get your hands on it — try something practical and adjust</t>
        </is>
      </c>
      <c r="E9" s="438" t="inlineStr">
        <is>
          <t>C. Write or talk through it to figure out what you think</t>
        </is>
      </c>
      <c r="F9" s="438" t="inlineStr">
        <is>
          <t>D. Talk to the people affected by it</t>
        </is>
      </c>
      <c r="G9" s="438" t="inlineStr">
        <is>
          <t>E. Break it into logical steps and start executing
F. Look for the pattern — what's working, what isn't, what the data says</t>
        </is>
      </c>
      <c r="H9" s="247" t="inlineStr"/>
      <c r="I9" s="439" t="inlineStr">
        <is>
          <t>Trait (revised)</t>
        </is>
      </c>
      <c r="J9" s="301">
        <f>IFERROR(CHOOSE(MATCH(UPPER(G9),{"A","B","C","D","E","F"},0),2,1,0,0,4,4),0)</f>
        <v/>
      </c>
      <c r="K9" s="301">
        <f>IFERROR(CHOOSE(MATCH(UPPER(G9),{"A","B","C","D","E","F"},0),0,3,0,0,1,0),0)</f>
        <v/>
      </c>
      <c r="L9" s="301">
        <f>IFERROR(CHOOSE(MATCH(UPPER(G9),{"A","B","C","D","E","F"},0),0,1,3,0,0,0),0)</f>
        <v/>
      </c>
      <c r="M9" s="301">
        <f>IFERROR(CHOOSE(MATCH(UPPER(G9),{"A","B","C","D","E","F"},0),0,1,1,4,0,0),0)</f>
        <v/>
      </c>
      <c r="N9" s="301">
        <f>IFERROR(CHOOSE(MATCH(UPPER(G9),{"A","B","C","D","E","F"},0),0,0,3,3,0,0),0)</f>
        <v/>
      </c>
      <c r="O9" s="301">
        <f>IFERROR(CHOOSE(MATCH(UPPER(G9),{"A","B","C","D","E","F"},0),0,1,1,2,3,2),0)</f>
        <v/>
      </c>
      <c r="P9" s="301">
        <f>IFERROR(CHOOSE(MATCH(UPPER(G9),{"A","B","C","D","E","F"},0),4,1,1,1,2,3),0)</f>
        <v/>
      </c>
    </row>
    <row r="10" ht="32" customHeight="1">
      <c r="A10" s="81" t="n">
        <v>7</v>
      </c>
      <c r="B10" s="194" t="inlineStr">
        <is>
          <t>What kind of career sounds most interesting to you?</t>
        </is>
      </c>
      <c r="C10" s="324" t="inlineStr">
        <is>
          <t>A. Health care professional, therapist, or recreation co-ordinator</t>
        </is>
      </c>
      <c r="D10" s="324" t="inlineStr">
        <is>
          <t>B. Politician, lawyer, or community advocate</t>
        </is>
      </c>
      <c r="E10" s="324" t="inlineStr">
        <is>
          <t>C. Engineer or architect</t>
        </is>
      </c>
      <c r="F10" s="324" t="inlineStr">
        <is>
          <t>D. Farmer, agronomist, veterinarian, or land/resource manager</t>
        </is>
      </c>
      <c r="G10" s="324" t="inlineStr">
        <is>
          <t>E. Environmental or ocean scientist
F. Software developer, data scientist, or AI researcher</t>
        </is>
      </c>
      <c r="H10" s="247" t="inlineStr"/>
      <c r="I10" s="303" t="inlineStr">
        <is>
          <t>Direct weight (revised)</t>
        </is>
      </c>
      <c r="Q10" s="301">
        <f>IFERROR(CHOOSE(MATCH(UPPER(G10),{"A","B","C","D","E","F"},0),2,0,0,1,2,0),0)</f>
        <v/>
      </c>
      <c r="R10" s="301">
        <f>IFERROR(CHOOSE(MATCH(UPPER(G10),{"A","B","C","D","E","F"},0),0,0,5,0,0,1),0)</f>
        <v/>
      </c>
      <c r="S10" s="301">
        <f>IFERROR(CHOOSE(MATCH(UPPER(G10),{"A","B","C","D","E","F"},0),0,0,0,0,0,6),0)</f>
        <v/>
      </c>
      <c r="T10" s="301">
        <f>IFERROR(CHOOSE(MATCH(UPPER(G10),{"A","B","C","D","E","F"},0),0,0,2,0,0,0),0)</f>
        <v/>
      </c>
      <c r="U10" s="301">
        <f>IFERROR(CHOOSE(MATCH(UPPER(G10),{"A","B","C","D","E","F"},0),1,0,0,6,2,0),0)</f>
        <v/>
      </c>
      <c r="V10" s="301">
        <f>IFERROR(CHOOSE(MATCH(UPPER(G10),{"A","B","C","D","E","F"},0),0,0,0,2,5,0),0)</f>
        <v/>
      </c>
      <c r="W10" s="301">
        <f>IFERROR(CHOOSE(MATCH(UPPER(G10),{"A","B","C","D","E","F"},0),5,0,0,0,0,0),0)</f>
        <v/>
      </c>
      <c r="X10" s="301">
        <f>IFERROR(CHOOSE(MATCH(UPPER(G10),{"A","B","C","D","E","F"},0),0,2,0,0,0,1),0)</f>
        <v/>
      </c>
      <c r="Y10" s="301">
        <f>IFERROR(CHOOSE(MATCH(UPPER(G10),{"A","B","C","D","E","F"},0),0,5,0,0,0,0),0)</f>
        <v/>
      </c>
      <c r="Z10" s="301">
        <f>IFERROR(CHOOSE(MATCH(UPPER(G10),{"A","B","C","D","E","F"},0),0,1,0,0,0,0),0)</f>
        <v/>
      </c>
    </row>
    <row r="11" ht="32" customHeight="1">
      <c r="A11" s="177" t="n">
        <v>8</v>
      </c>
      <c r="B11" s="149" t="inlineStr">
        <is>
          <t>Which of these would you be most proud of doing one day?</t>
        </is>
      </c>
      <c r="C11" s="394" t="inlineStr">
        <is>
          <t>A. Publishing research that changes how people think</t>
        </is>
      </c>
      <c r="D11" s="394" t="inlineStr">
        <is>
          <t>B. Starting a company or organisation from nothing</t>
        </is>
      </c>
      <c r="E11" s="394" t="inlineStr">
        <is>
          <t>C. Creating art, writing, or music that moves people</t>
        </is>
      </c>
      <c r="F11" s="394" t="inlineStr">
        <is>
          <t>D. Improving the health or wellbeing of a community</t>
        </is>
      </c>
      <c r="G11" s="394" t="inlineStr">
        <is>
          <t>E. Designing a building, park, or neighbourhood people love
F. Restoring or growing something living — a farm, a forest, a fishery</t>
        </is>
      </c>
      <c r="H11" s="247" t="inlineStr"/>
      <c r="I11" s="302" t="inlineStr">
        <is>
          <t>Trait</t>
        </is>
      </c>
      <c r="J11" s="301">
        <f>IFERROR(CHOOSE(MATCH(UPPER(G11),{"A","B","C","D","E","F"},0),2,2,0,1,2,1),0)</f>
        <v/>
      </c>
      <c r="K11" s="301">
        <f>IFERROR(CHOOSE(MATCH(UPPER(G11),{"A","B","C","D","E","F"},0),0,1,0,1,3,4),0)</f>
        <v/>
      </c>
      <c r="L11" s="301">
        <f>IFERROR(CHOOSE(MATCH(UPPER(G11),{"A","B","C","D","E","F"},0),1,1,4,0,4,0),0)</f>
        <v/>
      </c>
      <c r="M11" s="301">
        <f>IFERROR(CHOOSE(MATCH(UPPER(G11),{"A","B","C","D","E","F"},0),1,1,2,4,1,2),0)</f>
        <v/>
      </c>
      <c r="N11" s="301">
        <f>IFERROR(CHOOSE(MATCH(UPPER(G11),{"A","B","C","D","E","F"},0),1,2,4,2,2,0),0)</f>
        <v/>
      </c>
      <c r="O11" s="301">
        <f>IFERROR(CHOOSE(MATCH(UPPER(G11),{"A","B","C","D","E","F"},0),0,4,0,2,1,1),0)</f>
        <v/>
      </c>
      <c r="P11" s="301">
        <f>IFERROR(CHOOSE(MATCH(UPPER(G11),{"A","B","C","D","E","F"},0),4,1,0,1,1,1),0)</f>
        <v/>
      </c>
    </row>
    <row r="12" ht="32" customHeight="1">
      <c r="A12" s="45" t="n">
        <v>9</v>
      </c>
      <c r="B12" s="175" t="inlineStr">
        <is>
          <t>Pick the activity you'd most enjoy on a Saturday</t>
        </is>
      </c>
      <c r="C12" s="393" t="inlineStr">
        <is>
          <t>A. Taking apart something mechanical to see how it works</t>
        </is>
      </c>
      <c r="D12" s="393" t="inlineStr">
        <is>
          <t>B. Working with animals, plants, or in a garden</t>
        </is>
      </c>
      <c r="E12" s="393" t="inlineStr">
        <is>
          <t>C. Working on a creative project — writing, music, or art</t>
        </is>
      </c>
      <c r="F12" s="393" t="inlineStr">
        <is>
          <t>D. Organising a social event or volunteering</t>
        </is>
      </c>
      <c r="G12" s="393" t="inlineStr">
        <is>
          <t>E. Tinkering with code, data, or a personal tech project
F. Hiking, diving, or exploring somewhere wild</t>
        </is>
      </c>
      <c r="H12" s="247" t="inlineStr"/>
      <c r="I12" s="300" t="inlineStr">
        <is>
          <t>Trait</t>
        </is>
      </c>
      <c r="J12" s="301">
        <f>IFERROR(CHOOSE(MATCH(UPPER(G12),{"A","B","C","D","E","F"},0),3,0,0,0,4,0),0)</f>
        <v/>
      </c>
      <c r="K12" s="301">
        <f>IFERROR(CHOOSE(MATCH(UPPER(G12),{"A","B","C","D","E","F"},0),4,4,0,0,0,3),0)</f>
        <v/>
      </c>
      <c r="L12" s="301">
        <f>IFERROR(CHOOSE(MATCH(UPPER(G12),{"A","B","C","D","E","F"},0),0,1,4,0,1,1),0)</f>
        <v/>
      </c>
      <c r="M12" s="301">
        <f>IFERROR(CHOOSE(MATCH(UPPER(G12),{"A","B","C","D","E","F"},0),0,2,0,4,0,0),0)</f>
        <v/>
      </c>
      <c r="N12" s="301">
        <f>IFERROR(CHOOSE(MATCH(UPPER(G12),{"A","B","C","D","E","F"},0),0,0,2,3,0,0),0)</f>
        <v/>
      </c>
      <c r="O12" s="301">
        <f>IFERROR(CHOOSE(MATCH(UPPER(G12),{"A","B","C","D","E","F"},0),0,0,0,3,1,0),0)</f>
        <v/>
      </c>
      <c r="P12" s="301">
        <f>IFERROR(CHOOSE(MATCH(UPPER(G12),{"A","B","C","D","E","F"},0),4,1,1,0,3,2),0)</f>
        <v/>
      </c>
    </row>
    <row r="13" ht="32" customHeight="1">
      <c r="A13" s="177" t="n">
        <v>10</v>
      </c>
      <c r="B13" s="149" t="inlineStr">
        <is>
          <t>Pick the statement that feels most like you</t>
        </is>
      </c>
      <c r="C13" s="394" t="inlineStr">
        <is>
          <t>A. "I want to solve problems nobody has solved yet"</t>
        </is>
      </c>
      <c r="D13" s="394" t="inlineStr">
        <is>
          <t>B. "I want to engineer or build things that work in the physical world"</t>
        </is>
      </c>
      <c r="E13" s="394" t="inlineStr">
        <is>
          <t>C. "I want to write code or work with data to build something useful"</t>
        </is>
      </c>
      <c r="F13" s="394" t="inlineStr">
        <is>
          <t>D. "I want to care for and grow living things — animals, plants, land"</t>
        </is>
      </c>
      <c r="G13" s="394" t="inlineStr">
        <is>
          <t>E. "I want to give people a voice or a fair chance"
F. "I want to design spaces that shape how people live and move"</t>
        </is>
      </c>
      <c r="H13" s="247" t="inlineStr"/>
      <c r="I13" s="302" t="inlineStr">
        <is>
          <t>Trait</t>
        </is>
      </c>
      <c r="J13" s="301">
        <f>IFERROR(CHOOSE(MATCH(UPPER(G13),{"A","B","C","D","E","F"},0),2,4,4,0,0,2),0)</f>
        <v/>
      </c>
      <c r="K13" s="301">
        <f>IFERROR(CHOOSE(MATCH(UPPER(G13),{"A","B","C","D","E","F"},0),0,4,0,4,0,3),0)</f>
        <v/>
      </c>
      <c r="L13" s="301">
        <f>IFERROR(CHOOSE(MATCH(UPPER(G13),{"A","B","C","D","E","F"},0),1,1,1,0,1,4),0)</f>
        <v/>
      </c>
      <c r="M13" s="301">
        <f>IFERROR(CHOOSE(MATCH(UPPER(G13),{"A","B","C","D","E","F"},0),0,0,0,3,4,1),0)</f>
        <v/>
      </c>
      <c r="N13" s="301">
        <f>IFERROR(CHOOSE(MATCH(UPPER(G13),{"A","B","C","D","E","F"},0),0,0,0,0,4,2),0)</f>
        <v/>
      </c>
      <c r="O13" s="301">
        <f>IFERROR(CHOOSE(MATCH(UPPER(G13),{"A","B","C","D","E","F"},0),1,2,1,1,3,1),0)</f>
        <v/>
      </c>
      <c r="P13" s="301">
        <f>IFERROR(CHOOSE(MATCH(UPPER(G13),{"A","B","C","D","E","F"},0),4,3,3,1,0,1),0)</f>
        <v/>
      </c>
    </row>
    <row r="14" ht="32" customHeight="1">
      <c r="A14" s="45" t="n">
        <v>11</v>
      </c>
      <c r="B14" s="175" t="inlineStr">
        <is>
          <t>When you imagine your future, what feels most right?</t>
        </is>
      </c>
      <c r="C14" s="393" t="inlineStr">
        <is>
          <t>A. Working with animals, crops, or land — caring for living things</t>
        </is>
      </c>
      <c r="D14" s="393" t="inlineStr">
        <is>
          <t>B. In the field or at sea, investigating how natural systems work</t>
        </is>
      </c>
      <c r="E14" s="393" t="inlineStr">
        <is>
          <t>C. In front of people — speaking, performing, teaching, or leading</t>
        </is>
      </c>
      <c r="F14" s="393" t="inlineStr">
        <is>
          <t>D. Behind the scenes — designing, building, writing, or making something</t>
        </is>
      </c>
      <c r="G14" s="393" t="inlineStr">
        <is>
          <t>E. Working with people one-on-one to help them through something hard
F. Running something — a team, a project, a business, a campaign</t>
        </is>
      </c>
      <c r="H14" s="247" t="inlineStr"/>
      <c r="I14" s="300" t="inlineStr">
        <is>
          <t>Trait</t>
        </is>
      </c>
      <c r="J14" s="301">
        <f>IFERROR(CHOOSE(MATCH(UPPER(G14),{"A","B","C","D","E","F"},0),0,2,0,2,0,2),0)</f>
        <v/>
      </c>
      <c r="K14" s="301">
        <f>IFERROR(CHOOSE(MATCH(UPPER(G14),{"A","B","C","D","E","F"},0),4,3,0,2,0,0),0)</f>
        <v/>
      </c>
      <c r="L14" s="301">
        <f>IFERROR(CHOOSE(MATCH(UPPER(G14),{"A","B","C","D","E","F"},0),0,1,2,4,0,0),0)</f>
        <v/>
      </c>
      <c r="M14" s="301">
        <f>IFERROR(CHOOSE(MATCH(UPPER(G14),{"A","B","C","D","E","F"},0),3,0,3,0,4,2),0)</f>
        <v/>
      </c>
      <c r="N14" s="301">
        <f>IFERROR(CHOOSE(MATCH(UPPER(G14),{"A","B","C","D","E","F"},0),0,0,4,0,3,3),0)</f>
        <v/>
      </c>
      <c r="O14" s="301">
        <f>IFERROR(CHOOSE(MATCH(UPPER(G14),{"A","B","C","D","E","F"},0),1,0,3,1,1,4),0)</f>
        <v/>
      </c>
      <c r="P14" s="301">
        <f>IFERROR(CHOOSE(MATCH(UPPER(G14),{"A","B","C","D","E","F"},0),1,4,0,2,2,0),0)</f>
        <v/>
      </c>
    </row>
    <row r="15" ht="32" customHeight="1">
      <c r="A15" s="93" t="n">
        <v>12</v>
      </c>
      <c r="B15" s="214" t="inlineStr">
        <is>
          <t>Which setting would you most enjoy working in?</t>
        </is>
      </c>
      <c r="C15" s="331" t="inlineStr">
        <is>
          <t>A. A lab or research facility</t>
        </is>
      </c>
      <c r="D15" s="331" t="inlineStr">
        <is>
          <t>B. A tech company or startup</t>
        </is>
      </c>
      <c r="E15" s="331" t="inlineStr">
        <is>
          <t>C. A studio, agency, or design firm</t>
        </is>
      </c>
      <c r="F15" s="331" t="inlineStr">
        <is>
          <t>D. Outdoors — field, farm, coast, or forest</t>
        </is>
      </c>
      <c r="G15" s="331" t="inlineStr">
        <is>
          <t>E. A hospital, clinic, or community health setting
F. A boardroom, trading floor, or business office</t>
        </is>
      </c>
      <c r="H15" s="247" t="inlineStr"/>
      <c r="I15" s="304" t="inlineStr">
        <is>
          <t>Direct weight</t>
        </is>
      </c>
      <c r="AA15" s="301">
        <f>IFERROR(CHOOSE(MATCH(UPPER(G15),{"A","B","C","D","E","F"},0),5,0,0,1,2,0),0)</f>
        <v/>
      </c>
      <c r="AB15" s="301">
        <f>IFERROR(CHOOSE(MATCH(UPPER(G15),{"A","B","C","D","E","F"},0),2,2,0,0,0,1),0)</f>
        <v/>
      </c>
      <c r="AC15" s="301">
        <f>IFERROR(CHOOSE(MATCH(UPPER(G15),{"A","B","C","D","E","F"},0),2,5,0,0,0,0),0)</f>
        <v/>
      </c>
      <c r="AD15" s="301">
        <f>IFERROR(CHOOSE(MATCH(UPPER(G15),{"A","B","C","D","E","F"},0),0,0,4,0,0,0),0)</f>
        <v/>
      </c>
      <c r="AE15" s="301">
        <f>IFERROR(CHOOSE(MATCH(UPPER(G15),{"A","B","C","D","E","F"},0),0,0,0,5,0,0),0)</f>
        <v/>
      </c>
      <c r="AF15" s="301">
        <f>IFERROR(CHOOSE(MATCH(UPPER(G15),{"A","B","C","D","E","F"},0),0,0,0,4,0,0),0)</f>
        <v/>
      </c>
      <c r="AG15" s="301">
        <f>IFERROR(CHOOSE(MATCH(UPPER(G15),{"A","B","C","D","E","F"},0),0,0,0,0,5,0),0)</f>
        <v/>
      </c>
      <c r="AH15" s="301">
        <f>IFERROR(CHOOSE(MATCH(UPPER(G15),{"A","B","C","D","E","F"},0),0,2,1,0,0,5),0)</f>
        <v/>
      </c>
      <c r="AI15" s="301">
        <f>IFERROR(CHOOSE(MATCH(UPPER(G15),{"A","B","C","D","E","F"},0),0,0,0,0,1,2),0)</f>
        <v/>
      </c>
      <c r="AJ15" s="301">
        <f>IFERROR(CHOOSE(MATCH(UPPER(G15),{"A","B","C","D","E","F"},0),0,0,4,0,0,0),0)</f>
        <v/>
      </c>
    </row>
    <row r="18" ht="18" customHeight="1">
      <c r="A18" s="67" t="inlineStr">
        <is>
          <t>Trait dimension totals  (Q1-Q6 and Q8-Q11)</t>
        </is>
      </c>
    </row>
    <row r="19" ht="20" customHeight="1">
      <c r="A19" s="2" t="inlineStr">
        <is>
          <t>Code</t>
        </is>
      </c>
      <c r="B19" s="2" t="inlineStr">
        <is>
          <t>Dimension</t>
        </is>
      </c>
      <c r="C19" s="2" t="inlineStr">
        <is>
          <t>Your total</t>
        </is>
      </c>
      <c r="D19" s="2" t="inlineStr">
        <is>
          <t>Max possible</t>
        </is>
      </c>
      <c r="E19" s="2" t="inlineStr">
        <is>
          <t>% of max</t>
        </is>
      </c>
      <c r="F19" s="2" t="inlineStr">
        <is>
          <t>Visual profile</t>
        </is>
      </c>
    </row>
    <row r="20" ht="18" customHeight="1">
      <c r="A20" s="111" t="inlineStr">
        <is>
          <t>ANL</t>
        </is>
      </c>
      <c r="B20" s="186" t="inlineStr">
        <is>
          <t>ANL — Analytical</t>
        </is>
      </c>
      <c r="C20" s="162">
        <f>J4+J5+J6+J7+J8+J9+J11+J12+J13+J14</f>
        <v/>
      </c>
      <c r="D20" s="250" t="n">
        <v>33</v>
      </c>
      <c r="E20" s="188">
        <f>IFERROR(C20/D20,0)</f>
        <v/>
      </c>
      <c r="F20" s="447">
        <f>REPT("|",ROUND(E20*30,0))</f>
        <v/>
      </c>
    </row>
    <row r="21" ht="18" customHeight="1">
      <c r="A21" s="411" t="inlineStr">
        <is>
          <t>CON</t>
        </is>
      </c>
      <c r="B21" s="405" t="inlineStr">
        <is>
          <t>CON — Concrete/Applied</t>
        </is>
      </c>
      <c r="C21" s="338">
        <f>K4+K5+K6+K7+K8+K9+K11+K12+K13+K14</f>
        <v/>
      </c>
      <c r="D21" s="421" t="n">
        <v>37</v>
      </c>
      <c r="E21" s="422">
        <f>IFERROR(C21/D21,0)</f>
        <v/>
      </c>
      <c r="F21" s="448">
        <f>REPT("|",ROUND(E21*30,0))</f>
        <v/>
      </c>
    </row>
    <row r="22" ht="18" customHeight="1">
      <c r="A22" s="105" t="inlineStr">
        <is>
          <t>CRE</t>
        </is>
      </c>
      <c r="B22" s="190" t="inlineStr">
        <is>
          <t>CRE — Creative</t>
        </is>
      </c>
      <c r="C22" s="165">
        <f>L4+L5+L6+L7+L8+L9+L11+L12+L13+L14</f>
        <v/>
      </c>
      <c r="D22" s="252" t="n">
        <v>38</v>
      </c>
      <c r="E22" s="192">
        <f>IFERROR(C22/D22,0)</f>
        <v/>
      </c>
      <c r="F22" s="449">
        <f>REPT("|",ROUND(E22*30,0))</f>
        <v/>
      </c>
    </row>
    <row r="23" ht="18" customHeight="1">
      <c r="A23" s="81" t="inlineStr">
        <is>
          <t>SOC</t>
        </is>
      </c>
      <c r="B23" s="194" t="inlineStr">
        <is>
          <t>SOC — Social</t>
        </is>
      </c>
      <c r="C23" s="160">
        <f>M4+M5+M6+M7+M8+M9+M11+M12+M13+M14</f>
        <v/>
      </c>
      <c r="D23" s="254" t="n">
        <v>36</v>
      </c>
      <c r="E23" s="196">
        <f>IFERROR(C23/D23,0)</f>
        <v/>
      </c>
      <c r="F23" s="450">
        <f>REPT("|",ROUND(E23*30,0))</f>
        <v/>
      </c>
    </row>
    <row r="24" ht="18" customHeight="1">
      <c r="A24" s="370" t="inlineStr">
        <is>
          <t>EXP</t>
        </is>
      </c>
      <c r="B24" s="355" t="inlineStr">
        <is>
          <t>EXP — Expressive</t>
        </is>
      </c>
      <c r="C24" s="335">
        <f>N4+N5+N6+N7+N8+N9+N11+N12+N13+N14</f>
        <v/>
      </c>
      <c r="D24" s="426" t="n">
        <v>34</v>
      </c>
      <c r="E24" s="427">
        <f>IFERROR(C24/D24,0)</f>
        <v/>
      </c>
      <c r="F24" s="451">
        <f>REPT("|",ROUND(E24*30,0))</f>
        <v/>
      </c>
    </row>
    <row r="25" ht="18" customHeight="1">
      <c r="A25" s="73" t="inlineStr">
        <is>
          <t>LED</t>
        </is>
      </c>
      <c r="B25" s="202" t="inlineStr">
        <is>
          <t>LED — Leadership</t>
        </is>
      </c>
      <c r="C25" s="47">
        <f>O4+O5+O6+O7+O8+O9+O11+O12+O13+O14</f>
        <v/>
      </c>
      <c r="D25" s="258" t="n">
        <v>34</v>
      </c>
      <c r="E25" s="204">
        <f>IFERROR(C25/D25,0)</f>
        <v/>
      </c>
      <c r="F25" s="452">
        <f>REPT("|",ROUND(E25*30,0))</f>
        <v/>
      </c>
    </row>
    <row r="26" ht="18" customHeight="1">
      <c r="A26" s="117" t="inlineStr">
        <is>
          <t>INV</t>
        </is>
      </c>
      <c r="B26" s="206" t="inlineStr">
        <is>
          <t>INV — Investigative</t>
        </is>
      </c>
      <c r="C26" s="163">
        <f>P4+P5+P6+P7+P8+P9+P11+P12+P13+P14</f>
        <v/>
      </c>
      <c r="D26" s="260" t="n">
        <v>39</v>
      </c>
      <c r="E26" s="208">
        <f>IFERROR(C26/D26,0)</f>
        <v/>
      </c>
      <c r="F26" s="453">
        <f>REPT("|",ROUND(E26*30,0))</f>
        <v/>
      </c>
    </row>
    <row r="28" ht="18" customHeight="1">
      <c r="A28" s="67" t="inlineStr">
        <is>
          <t>Direct weight totals  (Q7 career + Q12 setting — Q7 now 6 options, EK gets max weight)</t>
        </is>
      </c>
    </row>
    <row r="29" ht="22" customHeight="1">
      <c r="A29" s="2" t="inlineStr">
        <is>
          <t>Archetype</t>
        </is>
      </c>
      <c r="B29" s="2" t="inlineStr">
        <is>
          <t>Q7 weight</t>
        </is>
      </c>
      <c r="C29" s="2" t="inlineStr">
        <is>
          <t>Q12 weight</t>
        </is>
      </c>
      <c r="D29" s="2" t="inlineStr">
        <is>
          <t>Total direct</t>
        </is>
      </c>
    </row>
    <row r="30" ht="18" customHeight="1">
      <c r="A30" s="206" t="inlineStr">
        <is>
          <t>Curious Mind</t>
        </is>
      </c>
      <c r="B30" s="163">
        <f>Q10</f>
        <v/>
      </c>
      <c r="C30" s="163">
        <f>AA15</f>
        <v/>
      </c>
      <c r="D30" s="163">
        <f>B30+C30</f>
        <v/>
      </c>
    </row>
    <row r="31" ht="18" customHeight="1">
      <c r="A31" s="194" t="inlineStr">
        <is>
          <t>Bold Inventor</t>
        </is>
      </c>
      <c r="B31" s="160">
        <f>R10</f>
        <v/>
      </c>
      <c r="C31" s="160">
        <f>AB15</f>
        <v/>
      </c>
      <c r="D31" s="160">
        <f>B31+C31</f>
        <v/>
      </c>
    </row>
    <row r="32" ht="18" customHeight="1">
      <c r="A32" s="186" t="inlineStr">
        <is>
          <t>Digital Native</t>
        </is>
      </c>
      <c r="B32" s="162">
        <f>S10</f>
        <v/>
      </c>
      <c r="C32" s="162">
        <f>AC15</f>
        <v/>
      </c>
      <c r="D32" s="162">
        <f>B32+C32</f>
        <v/>
      </c>
    </row>
    <row r="33" ht="18" customHeight="1">
      <c r="A33" s="190" t="inlineStr">
        <is>
          <t>Place Maker</t>
        </is>
      </c>
      <c r="B33" s="165">
        <f>T10</f>
        <v/>
      </c>
      <c r="C33" s="165">
        <f>AD15</f>
        <v/>
      </c>
      <c r="D33" s="165">
        <f>B33+C33</f>
        <v/>
      </c>
    </row>
    <row r="34" ht="18" customHeight="1">
      <c r="A34" s="353" t="inlineStr">
        <is>
          <t>Earth Keeper</t>
        </is>
      </c>
      <c r="B34" s="338">
        <f>U10</f>
        <v/>
      </c>
      <c r="C34" s="338">
        <f>AE15</f>
        <v/>
      </c>
      <c r="D34" s="338">
        <f>B34+C34</f>
        <v/>
      </c>
    </row>
    <row r="35" ht="18" customHeight="1">
      <c r="A35" s="354" t="inlineStr">
        <is>
          <t>Natural Explorer</t>
        </is>
      </c>
      <c r="B35" s="339">
        <f>V10</f>
        <v/>
      </c>
      <c r="C35" s="339">
        <f>AF15</f>
        <v/>
      </c>
      <c r="D35" s="339">
        <f>B35+C35</f>
        <v/>
      </c>
    </row>
    <row r="36" ht="18" customHeight="1">
      <c r="A36" s="210" t="inlineStr">
        <is>
          <t>Caring Healer</t>
        </is>
      </c>
      <c r="B36" s="168">
        <f>W10</f>
        <v/>
      </c>
      <c r="C36" s="168">
        <f>AG15</f>
        <v/>
      </c>
      <c r="D36" s="168">
        <f>B36+C36</f>
        <v/>
      </c>
    </row>
    <row r="37" ht="18" customHeight="1">
      <c r="A37" s="202" t="inlineStr">
        <is>
          <t>Results Driver</t>
        </is>
      </c>
      <c r="B37" s="47">
        <f>X10</f>
        <v/>
      </c>
      <c r="C37" s="47">
        <f>AH15</f>
        <v/>
      </c>
      <c r="D37" s="47">
        <f>B37+C37</f>
        <v/>
      </c>
    </row>
    <row r="38" ht="18" customHeight="1">
      <c r="A38" s="214" t="inlineStr">
        <is>
          <t>Civic Thinker</t>
        </is>
      </c>
      <c r="B38" s="167">
        <f>Y10</f>
        <v/>
      </c>
      <c r="C38" s="167">
        <f>AI15</f>
        <v/>
      </c>
      <c r="D38" s="167">
        <f>B38+C38</f>
        <v/>
      </c>
    </row>
    <row r="39" ht="18" customHeight="1">
      <c r="A39" s="355" t="inlineStr">
        <is>
          <t>Creative Soul</t>
        </is>
      </c>
      <c r="B39" s="335">
        <f>Z10</f>
        <v/>
      </c>
      <c r="C39" s="335">
        <f>AJ15</f>
        <v/>
      </c>
      <c r="D39" s="335">
        <f>B39+C39</f>
        <v/>
      </c>
    </row>
    <row r="42" ht="18" customHeight="1">
      <c r="A42" s="67" t="inlineStr">
        <is>
          <t>Combined result — Euclidean distance (accumulated-total scale) adjusted by Q7/Q12 direct weights</t>
        </is>
      </c>
    </row>
    <row r="43" ht="16" customHeight="1">
      <c r="A43" s="245" t="inlineStr">
        <is>
          <t>Adjusted score = Euclidean distance (accumulated totals vs ideal totals) minus (direct x 0.3). Lowest = best fit.</t>
        </is>
      </c>
    </row>
    <row r="44" ht="28" customHeight="1">
      <c r="A44" s="2" t="inlineStr">
        <is>
          <t>Archetype</t>
        </is>
      </c>
      <c r="B44" s="2" t="inlineStr">
        <is>
          <t>Dal program theme</t>
        </is>
      </c>
      <c r="C44" s="2" t="inlineStr">
        <is>
          <t>Trait dist</t>
        </is>
      </c>
      <c r="D44" s="2" t="inlineStr">
        <is>
          <t>Direct pts</t>
        </is>
      </c>
      <c r="E44" s="2" t="inlineStr">
        <is>
          <t>Adj score</t>
        </is>
      </c>
      <c r="F44" s="2" t="inlineStr">
        <is>
          <t>Gap</t>
        </is>
      </c>
      <c r="G44" s="2" t="inlineStr">
        <is>
          <t>Confidence</t>
        </is>
      </c>
    </row>
    <row r="45" ht="20" customHeight="1">
      <c r="A45" s="137" t="inlineStr">
        <is>
          <t>Curious Mind</t>
        </is>
      </c>
      <c r="B45" s="145" t="inlineStr">
        <is>
          <t>Science — biology, chemistry, physics, neuroscience</t>
        </is>
      </c>
      <c r="C45" s="232">
        <f>SQRT((C20-25)^2+(C21-16)^2+(C22-5)^2+(C23-1)^2+(C24-1)^2+(C25-3)^2+(C26-39)^2)</f>
        <v/>
      </c>
      <c r="D45" s="163">
        <f>D30</f>
        <v/>
      </c>
      <c r="E45" s="232">
        <f>C45-(D45*0.3)</f>
        <v/>
      </c>
      <c r="F45" s="281">
        <f>IF(E45=MIN(E45:E54),SMALL(E45:E54,2)-MIN(E45:E54),"")</f>
        <v/>
      </c>
      <c r="G45" s="117">
        <f>IF(E45&lt;&gt;MIN(E45:E54),"",IF(SMALL(E45:E54,2)-MIN(E45:E54)&gt;=3,"Strong",IF(SMALL(E45:E54,2)-MIN(E45:E54)&gt;=1.5,"Moderate","Narrow")))</f>
        <v/>
      </c>
    </row>
    <row r="46" ht="20" customHeight="1">
      <c r="A46" s="125" t="inlineStr">
        <is>
          <t>Bold Inventor</t>
        </is>
      </c>
      <c r="B46" s="142" t="inlineStr">
        <is>
          <t>Engineering — civil, mechanical, electrical, industrial</t>
        </is>
      </c>
      <c r="C46" s="220">
        <f>SQRT((C20-30)^2+(C21-25)^2+(C22-11)^2+(C23-1)^2+(C24-3)^2+(C25-15)^2+(C26-28)^2)</f>
        <v/>
      </c>
      <c r="D46" s="160">
        <f>D31</f>
        <v/>
      </c>
      <c r="E46" s="220">
        <f>C46-(D46*0.3)</f>
        <v/>
      </c>
      <c r="F46" s="269">
        <f>IF(E46=MIN(E45:E54),SMALL(E45:E54,2)-MIN(E45:E54),"")</f>
        <v/>
      </c>
      <c r="G46" s="81">
        <f>IF(E46&lt;&gt;MIN(E45:E54),"",IF(SMALL(E45:E54,2)-MIN(E45:E54)&gt;=3,"Strong",IF(SMALL(E45:E54,2)-MIN(E45:E54)&gt;=1.5,"Moderate","Narrow")))</f>
        <v/>
      </c>
    </row>
    <row r="47" ht="20" customHeight="1">
      <c r="A47" s="135" t="inlineStr">
        <is>
          <t>Digital Native</t>
        </is>
      </c>
      <c r="B47" s="140" t="inlineStr">
        <is>
          <t>Computer science, data science, AI, cognitive science</t>
        </is>
      </c>
      <c r="C47" s="230">
        <f>SQRT((C20-33)^2+(C21-6)^2+(C22-10)^2+(C23-1)^2+(C24-1)^2+(C25-8)^2+(C26-32)^2)</f>
        <v/>
      </c>
      <c r="D47" s="162">
        <f>D32</f>
        <v/>
      </c>
      <c r="E47" s="230">
        <f>C47-(D47*0.3)</f>
        <v/>
      </c>
      <c r="F47" s="279">
        <f>IF(E47=MIN(E45:E54),SMALL(E45:E54,2)-MIN(E45:E54),"")</f>
        <v/>
      </c>
      <c r="G47" s="111">
        <f>IF(E47&lt;&gt;MIN(E45:E54),"",IF(SMALL(E45:E54,2)-MIN(E45:E54)&gt;=3,"Strong",IF(SMALL(E45:E54,2)-MIN(E45:E54)&gt;=1.5,"Moderate","Narrow")))</f>
        <v/>
      </c>
    </row>
    <row r="48" ht="20" customHeight="1">
      <c r="A48" s="133" t="inlineStr">
        <is>
          <t>Place Maker</t>
        </is>
      </c>
      <c r="B48" s="141" t="inlineStr">
        <is>
          <t>Architecture, planning, landscape architecture</t>
        </is>
      </c>
      <c r="C48" s="228">
        <f>SQRT((C20-12)^2+(C21-15)^2+(C22-39)^2+(C23-5)^2+(C24-16)^2+(C25-7)^2+(C26-10)^2)</f>
        <v/>
      </c>
      <c r="D48" s="165">
        <f>D33</f>
        <v/>
      </c>
      <c r="E48" s="228">
        <f>C48-(D48*0.3)</f>
        <v/>
      </c>
      <c r="F48" s="277">
        <f>IF(E48=MIN(E45:E54),SMALL(E45:E54,2)-MIN(E45:E54),"")</f>
        <v/>
      </c>
      <c r="G48" s="105">
        <f>IF(E48&lt;&gt;MIN(E45:E54),"",IF(SMALL(E45:E54,2)-MIN(E45:E54)&gt;=3,"Strong",IF(SMALL(E45:E54,2)-MIN(E45:E54)&gt;=1.5,"Moderate","Narrow")))</f>
        <v/>
      </c>
    </row>
    <row r="49" ht="20" customHeight="1">
      <c r="A49" s="356" t="inlineStr">
        <is>
          <t>Earth Keeper</t>
        </is>
      </c>
      <c r="B49" s="357" t="inlineStr">
        <is>
          <t>Agriculture, animal science, aquaculture, plant science</t>
        </is>
      </c>
      <c r="C49" s="358">
        <f>SQRT((C20-9)^2+(C21-33)^2+(C22-9)^2+(C23-16)^2+(C24-2)^2+(C25-7)^2+(C26-15)^2)</f>
        <v/>
      </c>
      <c r="D49" s="338">
        <f>D34</f>
        <v/>
      </c>
      <c r="E49" s="358">
        <f>C49-(D49*0.3)</f>
        <v/>
      </c>
      <c r="F49" s="359">
        <f>IF(E49=MIN(E45:E54),SMALL(E45:E54,2)-MIN(E45:E54),"")</f>
        <v/>
      </c>
      <c r="G49" s="360">
        <f>IF(E49&lt;&gt;MIN(E45:E54),"",IF(SMALL(E45:E54,2)-MIN(E45:E54)&gt;=3,"Strong",IF(SMALL(E45:E54,2)-MIN(E45:E54)&gt;=1.5,"Moderate","Narrow")))</f>
        <v/>
      </c>
    </row>
    <row r="50" ht="20" customHeight="1">
      <c r="A50" s="361" t="inlineStr">
        <is>
          <t>Natural Explorer</t>
        </is>
      </c>
      <c r="B50" s="362" t="inlineStr">
        <is>
          <t>Oceanography, marine biology, environmental science</t>
        </is>
      </c>
      <c r="C50" s="363">
        <f>SQRT((C20-14)^2+(C21-17)^2+(C22-7)^2+(C23-4)^2+(C24-1)^2+(C25-2)^2+(C26-34)^2)</f>
        <v/>
      </c>
      <c r="D50" s="339">
        <f>D35</f>
        <v/>
      </c>
      <c r="E50" s="363">
        <f>C50-(D50*0.3)</f>
        <v/>
      </c>
      <c r="F50" s="364">
        <f>IF(E50=MIN(E45:E54),SMALL(E45:E54,2)-MIN(E45:E54),"")</f>
        <v/>
      </c>
      <c r="G50" s="365">
        <f>IF(E50&lt;&gt;MIN(E45:E54),"",IF(SMALL(E45:E54,2)-MIN(E45:E54)&gt;=3,"Strong",IF(SMALL(E45:E54,2)-MIN(E45:E54)&gt;=1.5,"Moderate","Narrow")))</f>
        <v/>
      </c>
    </row>
    <row r="51" ht="20" customHeight="1">
      <c r="A51" s="131" t="inlineStr">
        <is>
          <t>Caring Healer</t>
        </is>
      </c>
      <c r="B51" s="146" t="inlineStr">
        <is>
          <t>Health sciences, kinesiology, nursing, therapeutic recreation</t>
        </is>
      </c>
      <c r="C51" s="226">
        <f>SQRT((C20-3)^2+(C21-4)^2+(C22-4)^2+(C23-36)^2+(C24-26)^2+(C25-20)^2+(C26-7)^2)</f>
        <v/>
      </c>
      <c r="D51" s="168">
        <f>D36</f>
        <v/>
      </c>
      <c r="E51" s="226">
        <f>C51-(D51*0.3)</f>
        <v/>
      </c>
      <c r="F51" s="275">
        <f>IF(E51=MIN(E45:E54),SMALL(E45:E54,2)-MIN(E45:E54),"")</f>
        <v/>
      </c>
      <c r="G51" s="99">
        <f>IF(E51&lt;&gt;MIN(E45:E54),"",IF(SMALL(E45:E54,2)-MIN(E45:E54)&gt;=3,"Strong",IF(SMALL(E45:E54,2)-MIN(E45:E54)&gt;=1.5,"Moderate","Narrow")))</f>
        <v/>
      </c>
    </row>
    <row r="52" ht="20" customHeight="1">
      <c r="A52" s="123" t="inlineStr">
        <is>
          <t>Results Driver</t>
        </is>
      </c>
      <c r="B52" s="144" t="inlineStr">
        <is>
          <t>Commerce, accounting, finance, marketing</t>
        </is>
      </c>
      <c r="C52" s="218">
        <f>SQRT((C20-29)^2+(C21-5)^2+(C22-6)^2+(C23-9)^2+(C24-12)^2+(C25-30)^2+(C26-14)^2)</f>
        <v/>
      </c>
      <c r="D52" s="47">
        <f>D37</f>
        <v/>
      </c>
      <c r="E52" s="218">
        <f>C52-(D52*0.3)</f>
        <v/>
      </c>
      <c r="F52" s="267">
        <f>IF(E52=MIN(E45:E54),SMALL(E45:E54,2)-MIN(E45:E54),"")</f>
        <v/>
      </c>
      <c r="G52" s="73">
        <f>IF(E52&lt;&gt;MIN(E45:E54),"",IF(SMALL(E45:E54,2)-MIN(E45:E54)&gt;=3,"Strong",IF(SMALL(E45:E54,2)-MIN(E45:E54)&gt;=1.5,"Moderate","Narrow")))</f>
        <v/>
      </c>
    </row>
    <row r="53" ht="20" customHeight="1">
      <c r="A53" s="129" t="inlineStr">
        <is>
          <t>Civic Thinker</t>
        </is>
      </c>
      <c r="B53" s="147" t="inlineStr">
        <is>
          <t>Political science, sociology, law, international development</t>
        </is>
      </c>
      <c r="C53" s="224">
        <f>SQRT((C20-4)^2+(C21-1)^2+(C22-12)^2+(C23-30)^2+(C24-31)^2+(C25-27)^2+(C26-3)^2)</f>
        <v/>
      </c>
      <c r="D53" s="167">
        <f>D38</f>
        <v/>
      </c>
      <c r="E53" s="224">
        <f>C53-(D53*0.3)</f>
        <v/>
      </c>
      <c r="F53" s="273">
        <f>IF(E53=MIN(E45:E54),SMALL(E45:E54,2)-MIN(E45:E54),"")</f>
        <v/>
      </c>
      <c r="G53" s="93">
        <f>IF(E53&lt;&gt;MIN(E45:E54),"",IF(SMALL(E45:E54,2)-MIN(E45:E54)&gt;=3,"Strong",IF(SMALL(E45:E54,2)-MIN(E45:E54)&gt;=1.5,"Moderate","Narrow")))</f>
        <v/>
      </c>
    </row>
    <row r="54" ht="20" customHeight="1">
      <c r="A54" s="366" t="inlineStr">
        <is>
          <t>Creative Soul</t>
        </is>
      </c>
      <c r="B54" s="367" t="inlineStr">
        <is>
          <t>English, theatre, music, fine arts, film</t>
        </is>
      </c>
      <c r="C54" s="368">
        <f>SQRT((C20-4)^2+(C21-6)^2+(C22-36)^2+(C23-12)^2+(C24-27)^2+(C25-7)^2+(C26-5)^2)</f>
        <v/>
      </c>
      <c r="D54" s="335">
        <f>D39</f>
        <v/>
      </c>
      <c r="E54" s="368">
        <f>C54-(D54*0.3)</f>
        <v/>
      </c>
      <c r="F54" s="369">
        <f>IF(E54=MIN(E45:E54),SMALL(E45:E54,2)-MIN(E45:E54),"")</f>
        <v/>
      </c>
      <c r="G54" s="370">
        <f>IF(E54&lt;&gt;MIN(E45:E54),"",IF(SMALL(E45:E54,2)-MIN(E45:E54)&gt;=3,"Strong",IF(SMALL(E45:E54,2)-MIN(E45:E54)&gt;=1.5,"Moderate","Narrow")))</f>
        <v/>
      </c>
    </row>
    <row r="56" ht="26" customHeight="1">
      <c r="A56" s="234">
        <f>IF(COUNTA(G4:G15)&lt;12,"Answer all 12 questions to see your result","Best fit: "&amp;INDEX(A45:A54,MATCH(MIN(E45:E54),E45:E54,0))&amp;"  |  Confidence: "&amp;INDEX(G45:G54,MATCH(MIN(E45:E54),E45:E54,0)))</f>
        <v/>
      </c>
    </row>
    <row r="58" ht="16" customHeight="1">
      <c r="A58" s="311" t="inlineStr">
        <is>
          <t>All archetypes ranked — lowest adjusted score = best fit</t>
        </is>
      </c>
    </row>
    <row r="59" ht="18" customHeight="1">
      <c r="A59" s="2" t="inlineStr">
        <is>
          <t>Rank</t>
        </is>
      </c>
      <c r="B59" s="2" t="inlineStr">
        <is>
          <t>Archetype</t>
        </is>
      </c>
      <c r="C59" s="2" t="inlineStr">
        <is>
          <t>Adjusted score</t>
        </is>
      </c>
    </row>
    <row r="60" ht="16" customHeight="1">
      <c r="A60" s="236" t="n">
        <v>1</v>
      </c>
      <c r="B60" s="237">
        <f>INDEX(A45:A54,MATCH(SMALL(E45:E54,1),E45:E54,0))</f>
        <v/>
      </c>
      <c r="C60" s="238">
        <f>SMALL(E45:E54,1)</f>
        <v/>
      </c>
    </row>
    <row r="61" ht="16" customHeight="1">
      <c r="A61" s="282" t="n">
        <v>2</v>
      </c>
      <c r="B61" s="241">
        <f>INDEX(A45:A54,MATCH(SMALL(E45:E54,2),E45:E54,0))</f>
        <v/>
      </c>
      <c r="C61" s="242">
        <f>SMALL(E45:E54,2)</f>
        <v/>
      </c>
    </row>
    <row r="62" ht="16" customHeight="1">
      <c r="A62" s="283" t="n">
        <v>3</v>
      </c>
      <c r="B62" s="5">
        <f>INDEX(A45:A54,MATCH(SMALL(E45:E54,3),E45:E54,0))</f>
        <v/>
      </c>
      <c r="C62" s="284">
        <f>SMALL(E45:E54,3)</f>
        <v/>
      </c>
    </row>
    <row r="63" ht="16" customHeight="1">
      <c r="A63" s="282" t="n">
        <v>4</v>
      </c>
      <c r="B63" s="241">
        <f>INDEX(A45:A54,MATCH(SMALL(E45:E54,4),E45:E54,0))</f>
        <v/>
      </c>
      <c r="C63" s="242">
        <f>SMALL(E45:E54,4)</f>
        <v/>
      </c>
    </row>
    <row r="64" ht="16" customHeight="1">
      <c r="A64" s="283" t="n">
        <v>5</v>
      </c>
      <c r="B64" s="5">
        <f>INDEX(A45:A54,MATCH(SMALL(E45:E54,5),E45:E54,0))</f>
        <v/>
      </c>
      <c r="C64" s="284">
        <f>SMALL(E45:E54,5)</f>
        <v/>
      </c>
    </row>
    <row r="65" ht="16" customHeight="1">
      <c r="A65" s="282" t="n">
        <v>6</v>
      </c>
      <c r="B65" s="241">
        <f>INDEX(A45:A54,MATCH(SMALL(E45:E54,6),E45:E54,0))</f>
        <v/>
      </c>
      <c r="C65" s="242">
        <f>SMALL(E45:E54,6)</f>
        <v/>
      </c>
    </row>
    <row r="66" ht="16" customHeight="1">
      <c r="A66" s="283" t="n">
        <v>7</v>
      </c>
      <c r="B66" s="5">
        <f>INDEX(A45:A54,MATCH(SMALL(E45:E54,7),E45:E54,0))</f>
        <v/>
      </c>
      <c r="C66" s="284">
        <f>SMALL(E45:E54,7)</f>
        <v/>
      </c>
    </row>
    <row r="67" ht="16" customHeight="1">
      <c r="A67" s="282" t="n">
        <v>8</v>
      </c>
      <c r="B67" s="241">
        <f>INDEX(A45:A54,MATCH(SMALL(E45:E54,8),E45:E54,0))</f>
        <v/>
      </c>
      <c r="C67" s="242">
        <f>SMALL(E45:E54,8)</f>
        <v/>
      </c>
    </row>
    <row r="68" ht="16" customHeight="1">
      <c r="A68" s="283" t="n">
        <v>9</v>
      </c>
      <c r="B68" s="5">
        <f>INDEX(A45:A54,MATCH(SMALL(E45:E54,9),E45:E54,0))</f>
        <v/>
      </c>
      <c r="C68" s="284">
        <f>SMALL(E45:E54,9)</f>
        <v/>
      </c>
    </row>
    <row r="69" ht="16" customHeight="1">
      <c r="A69" s="282" t="n">
        <v>10</v>
      </c>
      <c r="B69" s="241">
        <f>INDEX(A45:A54,MATCH(SMALL(E45:E54,10),E45:E54,0))</f>
        <v/>
      </c>
      <c r="C69" s="242">
        <f>SMALL(E45:E54,10)</f>
        <v/>
      </c>
    </row>
  </sheetData>
  <mergeCells count="8">
    <mergeCell ref="A43:I43"/>
    <mergeCell ref="A58:G58"/>
    <mergeCell ref="A2:I2"/>
    <mergeCell ref="A56:G56"/>
    <mergeCell ref="A28:I28"/>
    <mergeCell ref="A42:I42"/>
    <mergeCell ref="A1:I1"/>
    <mergeCell ref="A18:I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48" customWidth="1" min="4" max="4"/>
    <col width="26" customWidth="1" min="5" max="5"/>
  </cols>
  <sheetData>
    <row r="1" ht="24" customHeight="1">
      <c r="A1" s="1" t="inlineStr">
        <is>
          <t>Dalhousie University — Undergraduate Programs by Archetype</t>
        </is>
      </c>
    </row>
    <row r="2" ht="16" customHeight="1">
      <c r="A2" s="245" t="inlineStr">
        <is>
          <t>Source: dal.ca/study/programs. Programs may appear under multiple archetypes where genuine cross-archetype fit exists.</t>
        </is>
      </c>
    </row>
    <row r="3" ht="22" customHeight="1">
      <c r="A3" s="2" t="inlineStr">
        <is>
          <t>#</t>
        </is>
      </c>
      <c r="B3" s="2" t="inlineStr">
        <is>
          <t>Archetype</t>
        </is>
      </c>
      <c r="C3" s="2" t="inlineStr">
        <is>
          <t>Dal theme</t>
        </is>
      </c>
      <c r="D3" s="2" t="inlineStr">
        <is>
          <t>Program</t>
        </is>
      </c>
      <c r="E3" s="2" t="inlineStr">
        <is>
          <t>Also fits</t>
        </is>
      </c>
    </row>
    <row r="4" ht="16" customHeight="1">
      <c r="A4" s="117" t="n">
        <v>1</v>
      </c>
      <c r="B4" s="137" t="inlineStr">
        <is>
          <t>Curious Mind</t>
        </is>
      </c>
      <c r="C4" s="145" t="inlineStr">
        <is>
          <t>Science — biology, chemistry, physics, neuroscience, earth sciences</t>
        </is>
      </c>
      <c r="D4" s="145" t="inlineStr">
        <is>
          <t>Biology (BSc)</t>
        </is>
      </c>
      <c r="E4" s="371" t="inlineStr">
        <is>
          <t>—</t>
        </is>
      </c>
    </row>
    <row r="5" ht="16" customHeight="1">
      <c r="A5" s="70" t="n"/>
      <c r="B5" s="70" t="n"/>
      <c r="C5" s="70" t="n"/>
      <c r="D5" s="372" t="inlineStr">
        <is>
          <t>Biochemistry &amp; Molecular Biology (BSc)</t>
        </is>
      </c>
      <c r="E5" s="373" t="inlineStr">
        <is>
          <t>—</t>
        </is>
      </c>
    </row>
    <row r="6" ht="16" customHeight="1">
      <c r="A6" s="70" t="n"/>
      <c r="B6" s="70" t="n"/>
      <c r="C6" s="70" t="n"/>
      <c r="D6" s="145" t="inlineStr">
        <is>
          <t>Chemistry (BSc)</t>
        </is>
      </c>
      <c r="E6" s="371" t="inlineStr">
        <is>
          <t>—</t>
        </is>
      </c>
    </row>
    <row r="7" ht="16" customHeight="1">
      <c r="A7" s="70" t="n"/>
      <c r="B7" s="70" t="n"/>
      <c r="C7" s="70" t="n"/>
      <c r="D7" s="372" t="inlineStr">
        <is>
          <t>Physics (BSc)</t>
        </is>
      </c>
      <c r="E7" s="373" t="inlineStr">
        <is>
          <t>—</t>
        </is>
      </c>
    </row>
    <row r="8" ht="16" customHeight="1">
      <c r="A8" s="70" t="n"/>
      <c r="B8" s="70" t="n"/>
      <c r="C8" s="70" t="n"/>
      <c r="D8" s="145" t="inlineStr">
        <is>
          <t>Mathematics &amp; Statistics (BSc)</t>
        </is>
      </c>
      <c r="E8" s="371" t="inlineStr">
        <is>
          <t>—</t>
        </is>
      </c>
    </row>
    <row r="9" ht="16" customHeight="1">
      <c r="A9" s="70" t="n"/>
      <c r="B9" s="70" t="n"/>
      <c r="C9" s="70" t="n"/>
      <c r="D9" s="372" t="inlineStr">
        <is>
          <t>Neuroscience (BSc)</t>
        </is>
      </c>
      <c r="E9" s="373" t="inlineStr">
        <is>
          <t>—</t>
        </is>
      </c>
    </row>
    <row r="10" ht="16" customHeight="1">
      <c r="A10" s="70" t="n"/>
      <c r="B10" s="70" t="n"/>
      <c r="C10" s="70" t="n"/>
      <c r="D10" s="145" t="inlineStr">
        <is>
          <t>Earth Sciences (BSc)</t>
        </is>
      </c>
      <c r="E10" s="371" t="inlineStr">
        <is>
          <t>Natural Explorer</t>
        </is>
      </c>
    </row>
    <row r="11" ht="16" customHeight="1">
      <c r="A11" s="70" t="n"/>
      <c r="B11" s="70" t="n"/>
      <c r="C11" s="70" t="n"/>
      <c r="D11" s="372" t="inlineStr">
        <is>
          <t>Integrated Science Program (BSc)</t>
        </is>
      </c>
      <c r="E11" s="373" t="inlineStr">
        <is>
          <t>—</t>
        </is>
      </c>
    </row>
    <row r="12" ht="16" customHeight="1">
      <c r="A12" s="70" t="n"/>
      <c r="B12" s="70" t="n"/>
      <c r="C12" s="70" t="n"/>
      <c r="D12" s="145" t="inlineStr">
        <is>
          <t>Science (BSc — general)</t>
        </is>
      </c>
      <c r="E12" s="371" t="inlineStr">
        <is>
          <t>—</t>
        </is>
      </c>
    </row>
    <row r="13" ht="16" customHeight="1">
      <c r="A13" s="70" t="n"/>
      <c r="B13" s="70" t="n"/>
      <c r="C13" s="70" t="n"/>
      <c r="D13" s="372" t="inlineStr">
        <is>
          <t>Bioveterinary Science (BSc)</t>
        </is>
      </c>
      <c r="E13" s="373" t="inlineStr">
        <is>
          <t>Earth Keeper</t>
        </is>
      </c>
    </row>
    <row r="14" ht="16" customHeight="1">
      <c r="A14" s="71" t="n"/>
      <c r="B14" s="71" t="n"/>
      <c r="C14" s="71" t="n"/>
      <c r="D14" s="145" t="inlineStr">
        <is>
          <t>Medical Sciences (pre-med pathway)</t>
        </is>
      </c>
      <c r="E14" s="371" t="inlineStr">
        <is>
          <t>Caring Healer</t>
        </is>
      </c>
    </row>
    <row r="15" ht="16" customHeight="1">
      <c r="A15" s="81" t="n">
        <v>2</v>
      </c>
      <c r="B15" s="125" t="inlineStr">
        <is>
          <t>Bold Inventor</t>
        </is>
      </c>
      <c r="C15" s="142" t="inlineStr">
        <is>
          <t>Engineering — civil, mechanical, electrical, industrial</t>
        </is>
      </c>
      <c r="D15" s="142" t="inlineStr">
        <is>
          <t>Civil Engineering (BEng)</t>
        </is>
      </c>
      <c r="E15" s="374" t="inlineStr">
        <is>
          <t>—</t>
        </is>
      </c>
    </row>
    <row r="16" ht="16" customHeight="1">
      <c r="A16" s="70" t="n"/>
      <c r="B16" s="70" t="n"/>
      <c r="C16" s="70" t="n"/>
      <c r="D16" s="375" t="inlineStr">
        <is>
          <t>Electrical Engineering (BEng)</t>
        </is>
      </c>
      <c r="E16" s="373" t="inlineStr">
        <is>
          <t>—</t>
        </is>
      </c>
    </row>
    <row r="17" ht="16" customHeight="1">
      <c r="A17" s="70" t="n"/>
      <c r="B17" s="70" t="n"/>
      <c r="C17" s="70" t="n"/>
      <c r="D17" s="142" t="inlineStr">
        <is>
          <t>Mechanical Engineering (BEng)</t>
        </is>
      </c>
      <c r="E17" s="374" t="inlineStr">
        <is>
          <t>—</t>
        </is>
      </c>
    </row>
    <row r="18" ht="16" customHeight="1">
      <c r="A18" s="70" t="n"/>
      <c r="B18" s="70" t="n"/>
      <c r="C18" s="70" t="n"/>
      <c r="D18" s="375" t="inlineStr">
        <is>
          <t>Industrial Engineering (BEng)</t>
        </is>
      </c>
      <c r="E18" s="373" t="inlineStr">
        <is>
          <t>—</t>
        </is>
      </c>
    </row>
    <row r="19" ht="16" customHeight="1">
      <c r="A19" s="70" t="n"/>
      <c r="B19" s="70" t="n"/>
      <c r="C19" s="70" t="n"/>
      <c r="D19" s="142" t="inlineStr">
        <is>
          <t>Environmental Engineering (BEng)</t>
        </is>
      </c>
      <c r="E19" s="374" t="inlineStr">
        <is>
          <t>Natural Explorer</t>
        </is>
      </c>
    </row>
    <row r="20" ht="16" customHeight="1">
      <c r="A20" s="70" t="n"/>
      <c r="B20" s="70" t="n"/>
      <c r="C20" s="70" t="n"/>
      <c r="D20" s="375" t="inlineStr">
        <is>
          <t>Computer Engineering (BEng)</t>
        </is>
      </c>
      <c r="E20" s="373" t="inlineStr">
        <is>
          <t>—</t>
        </is>
      </c>
    </row>
    <row r="21" ht="16" customHeight="1">
      <c r="A21" s="70" t="n"/>
      <c r="B21" s="70" t="n"/>
      <c r="C21" s="70" t="n"/>
      <c r="D21" s="142" t="inlineStr">
        <is>
          <t>Engineering (BEng — general)</t>
        </is>
      </c>
      <c r="E21" s="374" t="inlineStr">
        <is>
          <t>—</t>
        </is>
      </c>
    </row>
    <row r="22" ht="16" customHeight="1">
      <c r="A22" s="70" t="n"/>
      <c r="B22" s="70" t="n"/>
      <c r="C22" s="70" t="n"/>
      <c r="D22" s="375" t="inlineStr">
        <is>
          <t>Diploma of Engineering</t>
        </is>
      </c>
      <c r="E22" s="373" t="inlineStr">
        <is>
          <t>—</t>
        </is>
      </c>
    </row>
    <row r="23" ht="16" customHeight="1">
      <c r="A23" s="70" t="n"/>
      <c r="B23" s="70" t="n"/>
      <c r="C23" s="70" t="n"/>
      <c r="D23" s="142" t="inlineStr">
        <is>
          <t>Biomedical Engineering (BEng)</t>
        </is>
      </c>
      <c r="E23" s="374" t="inlineStr">
        <is>
          <t>—</t>
        </is>
      </c>
    </row>
    <row r="24" ht="16" customHeight="1">
      <c r="A24" s="71" t="n"/>
      <c r="B24" s="71" t="n"/>
      <c r="C24" s="71" t="n"/>
      <c r="D24" s="375" t="inlineStr">
        <is>
          <t>Materials Engineering (BEng)</t>
        </is>
      </c>
      <c r="E24" s="373" t="inlineStr">
        <is>
          <t>—</t>
        </is>
      </c>
    </row>
    <row r="25" ht="16" customHeight="1">
      <c r="A25" s="111" t="n">
        <v>3</v>
      </c>
      <c r="B25" s="135" t="inlineStr">
        <is>
          <t>Digital Native</t>
        </is>
      </c>
      <c r="C25" s="140" t="inlineStr">
        <is>
          <t>Computer science, data science, AI, cognitive science</t>
        </is>
      </c>
      <c r="D25" s="140" t="inlineStr">
        <is>
          <t>Computer Science (BSc)</t>
        </is>
      </c>
      <c r="E25" s="376" t="inlineStr">
        <is>
          <t>—</t>
        </is>
      </c>
    </row>
    <row r="26" ht="16" customHeight="1">
      <c r="A26" s="70" t="n"/>
      <c r="B26" s="70" t="n"/>
      <c r="C26" s="70" t="n"/>
      <c r="D26" s="377" t="inlineStr">
        <is>
          <t>Data Science (BSc)</t>
        </is>
      </c>
      <c r="E26" s="373" t="inlineStr">
        <is>
          <t>—</t>
        </is>
      </c>
    </row>
    <row r="27" ht="16" customHeight="1">
      <c r="A27" s="70" t="n"/>
      <c r="B27" s="70" t="n"/>
      <c r="C27" s="70" t="n"/>
      <c r="D27" s="140" t="inlineStr">
        <is>
          <t>Cognitive Science (BSc)</t>
        </is>
      </c>
      <c r="E27" s="376" t="inlineStr">
        <is>
          <t>—</t>
        </is>
      </c>
    </row>
    <row r="28" ht="16" customHeight="1">
      <c r="A28" s="70" t="n"/>
      <c r="B28" s="70" t="n"/>
      <c r="C28" s="70" t="n"/>
      <c r="D28" s="377" t="inlineStr">
        <is>
          <t>Computer Science &amp; Mathematics (BSc)</t>
        </is>
      </c>
      <c r="E28" s="373" t="inlineStr">
        <is>
          <t>—</t>
        </is>
      </c>
    </row>
    <row r="29" ht="16" customHeight="1">
      <c r="A29" s="70" t="n"/>
      <c r="B29" s="70" t="n"/>
      <c r="C29" s="70" t="n"/>
      <c r="D29" s="140" t="inlineStr">
        <is>
          <t>Informatics (BSc)</t>
        </is>
      </c>
      <c r="E29" s="376" t="inlineStr">
        <is>
          <t>—</t>
        </is>
      </c>
    </row>
    <row r="30" ht="16" customHeight="1">
      <c r="A30" s="71" t="n"/>
      <c r="B30" s="71" t="n"/>
      <c r="C30" s="71" t="n"/>
      <c r="D30" s="377" t="inlineStr">
        <is>
          <t>Artificial Intelligence (BSc)</t>
        </is>
      </c>
      <c r="E30" s="373" t="inlineStr">
        <is>
          <t>—</t>
        </is>
      </c>
    </row>
    <row r="31" ht="16" customHeight="1">
      <c r="A31" s="105" t="n">
        <v>4</v>
      </c>
      <c r="B31" s="133" t="inlineStr">
        <is>
          <t>Place Maker</t>
        </is>
      </c>
      <c r="C31" s="141" t="inlineStr">
        <is>
          <t>Architecture, planning, landscape architecture</t>
        </is>
      </c>
      <c r="D31" s="141" t="inlineStr">
        <is>
          <t>Architecture (BEnvD / MArch pathway)</t>
        </is>
      </c>
      <c r="E31" s="378" t="inlineStr">
        <is>
          <t>—</t>
        </is>
      </c>
    </row>
    <row r="32" ht="16" customHeight="1">
      <c r="A32" s="70" t="n"/>
      <c r="B32" s="70" t="n"/>
      <c r="C32" s="70" t="n"/>
      <c r="D32" s="379" t="inlineStr">
        <is>
          <t>Planning (BCD)</t>
        </is>
      </c>
      <c r="E32" s="373" t="inlineStr">
        <is>
          <t>—</t>
        </is>
      </c>
    </row>
    <row r="33" ht="16" customHeight="1">
      <c r="A33" s="70" t="n"/>
      <c r="B33" s="70" t="n"/>
      <c r="C33" s="70" t="n"/>
      <c r="D33" s="141" t="inlineStr">
        <is>
          <t>Landscape Architecture (BLA)</t>
        </is>
      </c>
      <c r="E33" s="378" t="inlineStr">
        <is>
          <t>—</t>
        </is>
      </c>
    </row>
    <row r="34" ht="16" customHeight="1">
      <c r="A34" s="70" t="n"/>
      <c r="B34" s="70" t="n"/>
      <c r="C34" s="70" t="n"/>
      <c r="D34" s="379" t="inlineStr">
        <is>
          <t>Landscape Horticulture (Diploma)</t>
        </is>
      </c>
      <c r="E34" s="373" t="inlineStr">
        <is>
          <t>—</t>
        </is>
      </c>
    </row>
    <row r="35" ht="16" customHeight="1">
      <c r="A35" s="70" t="n"/>
      <c r="B35" s="70" t="n"/>
      <c r="C35" s="70" t="n"/>
      <c r="D35" s="141" t="inlineStr">
        <is>
          <t>Managed Landscapes (Diploma)</t>
        </is>
      </c>
      <c r="E35" s="378" t="inlineStr">
        <is>
          <t>—</t>
        </is>
      </c>
    </row>
    <row r="36" ht="16" customHeight="1">
      <c r="A36" s="70" t="n"/>
      <c r="B36" s="70" t="n"/>
      <c r="C36" s="70" t="n"/>
      <c r="D36" s="379" t="inlineStr">
        <is>
          <t>Environmental Design (BEnvD)</t>
        </is>
      </c>
      <c r="E36" s="373" t="inlineStr">
        <is>
          <t>—</t>
        </is>
      </c>
    </row>
    <row r="37" ht="16" customHeight="1">
      <c r="A37" s="71" t="n"/>
      <c r="B37" s="71" t="n"/>
      <c r="C37" s="71" t="n"/>
      <c r="D37" s="141" t="inlineStr">
        <is>
          <t>Integrated Environmental Management (BSc)</t>
        </is>
      </c>
      <c r="E37" s="378" t="inlineStr">
        <is>
          <t>Natural Explorer</t>
        </is>
      </c>
    </row>
    <row r="38" ht="16" customHeight="1">
      <c r="A38" s="360" t="n">
        <v>5</v>
      </c>
      <c r="B38" s="356" t="inlineStr">
        <is>
          <t>Earth Keeper</t>
        </is>
      </c>
      <c r="C38" s="357" t="inlineStr">
        <is>
          <t>Agriculture, animal science, aquaculture, plant science</t>
        </is>
      </c>
      <c r="D38" s="357" t="inlineStr">
        <is>
          <t>Agriculture (BSc)</t>
        </is>
      </c>
      <c r="E38" s="380" t="inlineStr">
        <is>
          <t>—</t>
        </is>
      </c>
    </row>
    <row r="39" ht="16" customHeight="1">
      <c r="A39" s="70" t="n"/>
      <c r="B39" s="70" t="n"/>
      <c r="C39" s="70" t="n"/>
      <c r="D39" s="381" t="inlineStr">
        <is>
          <t>Animal Science (BSc Agr)</t>
        </is>
      </c>
      <c r="E39" s="373" t="inlineStr">
        <is>
          <t>—</t>
        </is>
      </c>
    </row>
    <row r="40" ht="16" customHeight="1">
      <c r="A40" s="70" t="n"/>
      <c r="B40" s="70" t="n"/>
      <c r="C40" s="70" t="n"/>
      <c r="D40" s="357" t="inlineStr">
        <is>
          <t>Aquaculture (BSc Agr)</t>
        </is>
      </c>
      <c r="E40" s="380" t="inlineStr">
        <is>
          <t>—</t>
        </is>
      </c>
    </row>
    <row r="41" ht="16" customHeight="1">
      <c r="A41" s="70" t="n"/>
      <c r="B41" s="70" t="n"/>
      <c r="C41" s="70" t="n"/>
      <c r="D41" s="381" t="inlineStr">
        <is>
          <t>Plant Science (BSc Agr)</t>
        </is>
      </c>
      <c r="E41" s="373" t="inlineStr">
        <is>
          <t>—</t>
        </is>
      </c>
    </row>
    <row r="42" ht="16" customHeight="1">
      <c r="A42" s="70" t="n"/>
      <c r="B42" s="70" t="n"/>
      <c r="C42" s="70" t="n"/>
      <c r="D42" s="357" t="inlineStr">
        <is>
          <t>Agricultural Business (BSc Agr)</t>
        </is>
      </c>
      <c r="E42" s="380" t="inlineStr">
        <is>
          <t>Results Driver</t>
        </is>
      </c>
    </row>
    <row r="43" ht="16" customHeight="1">
      <c r="A43" s="70" t="n"/>
      <c r="B43" s="70" t="n"/>
      <c r="C43" s="70" t="n"/>
      <c r="D43" s="381" t="inlineStr">
        <is>
          <t>Agricultural Economics (BSc Agr)</t>
        </is>
      </c>
      <c r="E43" s="373" t="inlineStr">
        <is>
          <t>—</t>
        </is>
      </c>
    </row>
    <row r="44" ht="16" customHeight="1">
      <c r="A44" s="70" t="n"/>
      <c r="B44" s="70" t="n"/>
      <c r="C44" s="70" t="n"/>
      <c r="D44" s="357" t="inlineStr">
        <is>
          <t>Bioveterinary Science (BSc)</t>
        </is>
      </c>
      <c r="E44" s="380" t="inlineStr">
        <is>
          <t>Curious Mind</t>
        </is>
      </c>
    </row>
    <row r="45" ht="16" customHeight="1">
      <c r="A45" s="70" t="n"/>
      <c r="B45" s="70" t="n"/>
      <c r="C45" s="70" t="n"/>
      <c r="D45" s="381" t="inlineStr">
        <is>
          <t>Veterinary Technology (DipTech)</t>
        </is>
      </c>
      <c r="E45" s="373" t="inlineStr">
        <is>
          <t>—</t>
        </is>
      </c>
    </row>
    <row r="46" ht="16" customHeight="1">
      <c r="A46" s="70" t="n"/>
      <c r="B46" s="70" t="n"/>
      <c r="C46" s="70" t="n"/>
      <c r="D46" s="357" t="inlineStr">
        <is>
          <t>International Food Business (BAgr)</t>
        </is>
      </c>
      <c r="E46" s="380" t="inlineStr">
        <is>
          <t>Results Driver</t>
        </is>
      </c>
    </row>
    <row r="47" ht="16" customHeight="1">
      <c r="A47" s="70" t="n"/>
      <c r="B47" s="70" t="n"/>
      <c r="C47" s="70" t="n"/>
      <c r="D47" s="381" t="inlineStr">
        <is>
          <t>Environmental Sciences — Agriculture (BSc Agr)</t>
        </is>
      </c>
      <c r="E47" s="373" t="inlineStr">
        <is>
          <t>Natural Explorer</t>
        </is>
      </c>
    </row>
    <row r="48" ht="16" customHeight="1">
      <c r="A48" s="71" t="n"/>
      <c r="B48" s="71" t="n"/>
      <c r="C48" s="71" t="n"/>
      <c r="D48" s="357" t="inlineStr">
        <is>
          <t>Small Business Management — Agriculture (BTech)</t>
        </is>
      </c>
      <c r="E48" s="380" t="inlineStr">
        <is>
          <t>—</t>
        </is>
      </c>
    </row>
    <row r="49" ht="16" customHeight="1">
      <c r="A49" s="365" t="n">
        <v>6</v>
      </c>
      <c r="B49" s="361" t="inlineStr">
        <is>
          <t>Natural Explorer</t>
        </is>
      </c>
      <c r="C49" s="362" t="inlineStr">
        <is>
          <t>Oceanography, marine biology, environmental science</t>
        </is>
      </c>
      <c r="D49" s="362" t="inlineStr">
        <is>
          <t>Oceanography (BSc)</t>
        </is>
      </c>
      <c r="E49" s="382" t="inlineStr">
        <is>
          <t>—</t>
        </is>
      </c>
    </row>
    <row r="50" ht="16" customHeight="1">
      <c r="A50" s="70" t="n"/>
      <c r="B50" s="70" t="n"/>
      <c r="C50" s="70" t="n"/>
      <c r="D50" s="383" t="inlineStr">
        <is>
          <t>Marine Biology (BSc)</t>
        </is>
      </c>
      <c r="E50" s="373" t="inlineStr">
        <is>
          <t>—</t>
        </is>
      </c>
    </row>
    <row r="51" ht="16" customHeight="1">
      <c r="A51" s="70" t="n"/>
      <c r="B51" s="70" t="n"/>
      <c r="C51" s="70" t="n"/>
      <c r="D51" s="362" t="inlineStr">
        <is>
          <t>Environmental Science (BSc)</t>
        </is>
      </c>
      <c r="E51" s="382" t="inlineStr">
        <is>
          <t>—</t>
        </is>
      </c>
    </row>
    <row r="52" ht="16" customHeight="1">
      <c r="A52" s="70" t="n"/>
      <c r="B52" s="70" t="n"/>
      <c r="C52" s="70" t="n"/>
      <c r="D52" s="383" t="inlineStr">
        <is>
          <t>Earth Sciences (BSc)</t>
        </is>
      </c>
      <c r="E52" s="373" t="inlineStr">
        <is>
          <t>Curious Mind</t>
        </is>
      </c>
    </row>
    <row r="53" ht="16" customHeight="1">
      <c r="A53" s="70" t="n"/>
      <c r="B53" s="70" t="n"/>
      <c r="C53" s="70" t="n"/>
      <c r="D53" s="362" t="inlineStr">
        <is>
          <t>Integrated Environmental Management (BSc)</t>
        </is>
      </c>
      <c r="E53" s="382" t="inlineStr">
        <is>
          <t>Place Maker</t>
        </is>
      </c>
    </row>
    <row r="54" ht="16" customHeight="1">
      <c r="A54" s="70" t="n"/>
      <c r="B54" s="70" t="n"/>
      <c r="C54" s="70" t="n"/>
      <c r="D54" s="383" t="inlineStr">
        <is>
          <t>Environmental Engineering (BEng)</t>
        </is>
      </c>
      <c r="E54" s="373" t="inlineStr">
        <is>
          <t>Bold Inventor</t>
        </is>
      </c>
    </row>
    <row r="55" ht="16" customHeight="1">
      <c r="A55" s="70" t="n"/>
      <c r="B55" s="70" t="n"/>
      <c r="C55" s="70" t="n"/>
      <c r="D55" s="362" t="inlineStr">
        <is>
          <t>Environmental Sciences — Agriculture (BSc Agr)</t>
        </is>
      </c>
      <c r="E55" s="382" t="inlineStr">
        <is>
          <t>Earth Keeper</t>
        </is>
      </c>
    </row>
    <row r="56" ht="16" customHeight="1">
      <c r="A56" s="70" t="n"/>
      <c r="B56" s="70" t="n"/>
      <c r="C56" s="70" t="n"/>
      <c r="D56" s="383" t="inlineStr">
        <is>
          <t>Geography (BA/BSc)</t>
        </is>
      </c>
      <c r="E56" s="373" t="inlineStr">
        <is>
          <t>—</t>
        </is>
      </c>
    </row>
    <row r="57" ht="16" customHeight="1">
      <c r="A57" s="71" t="n"/>
      <c r="B57" s="71" t="n"/>
      <c r="C57" s="71" t="n"/>
      <c r="D57" s="362" t="inlineStr">
        <is>
          <t>Sustainability (BSc)</t>
        </is>
      </c>
      <c r="E57" s="382" t="inlineStr">
        <is>
          <t>—</t>
        </is>
      </c>
    </row>
    <row r="58" ht="16" customHeight="1">
      <c r="A58" s="99" t="n">
        <v>7</v>
      </c>
      <c r="B58" s="131" t="inlineStr">
        <is>
          <t>Caring Healer</t>
        </is>
      </c>
      <c r="C58" s="146" t="inlineStr">
        <is>
          <t>Health sciences, kinesiology, nursing, therapeutic recreation</t>
        </is>
      </c>
      <c r="D58" s="146" t="inlineStr">
        <is>
          <t>Health Promotion (BSc)</t>
        </is>
      </c>
      <c r="E58" s="384" t="inlineStr">
        <is>
          <t>—</t>
        </is>
      </c>
    </row>
    <row r="59" ht="16" customHeight="1">
      <c r="A59" s="70" t="n"/>
      <c r="B59" s="70" t="n"/>
      <c r="C59" s="70" t="n"/>
      <c r="D59" s="385" t="inlineStr">
        <is>
          <t>Health Sciences (BSc)</t>
        </is>
      </c>
      <c r="E59" s="373" t="inlineStr">
        <is>
          <t>—</t>
        </is>
      </c>
    </row>
    <row r="60" ht="16" customHeight="1">
      <c r="A60" s="70" t="n"/>
      <c r="B60" s="70" t="n"/>
      <c r="C60" s="70" t="n"/>
      <c r="D60" s="146" t="inlineStr">
        <is>
          <t>Kinesiology (BSc)</t>
        </is>
      </c>
      <c r="E60" s="384" t="inlineStr">
        <is>
          <t>—</t>
        </is>
      </c>
    </row>
    <row r="61" ht="16" customHeight="1">
      <c r="A61" s="70" t="n"/>
      <c r="B61" s="70" t="n"/>
      <c r="C61" s="70" t="n"/>
      <c r="D61" s="385" t="inlineStr">
        <is>
          <t>Nursing (BScN)</t>
        </is>
      </c>
      <c r="E61" s="373" t="inlineStr">
        <is>
          <t>—</t>
        </is>
      </c>
    </row>
    <row r="62" ht="16" customHeight="1">
      <c r="A62" s="70" t="n"/>
      <c r="B62" s="70" t="n"/>
      <c r="C62" s="70" t="n"/>
      <c r="D62" s="146" t="inlineStr">
        <is>
          <t>Physiotherapy (pre-professional BSc pathway)</t>
        </is>
      </c>
      <c r="E62" s="384" t="inlineStr">
        <is>
          <t>—</t>
        </is>
      </c>
    </row>
    <row r="63" ht="16" customHeight="1">
      <c r="A63" s="70" t="n"/>
      <c r="B63" s="70" t="n"/>
      <c r="C63" s="70" t="n"/>
      <c r="D63" s="385" t="inlineStr">
        <is>
          <t>Recreation Management (BSc / BMgmt)</t>
        </is>
      </c>
      <c r="E63" s="373" t="inlineStr">
        <is>
          <t>—</t>
        </is>
      </c>
    </row>
    <row r="64" ht="16" customHeight="1">
      <c r="A64" s="70" t="n"/>
      <c r="B64" s="70" t="n"/>
      <c r="C64" s="70" t="n"/>
      <c r="D64" s="146" t="inlineStr">
        <is>
          <t>Therapeutic Recreation (BSc)</t>
        </is>
      </c>
      <c r="E64" s="384" t="inlineStr">
        <is>
          <t>—</t>
        </is>
      </c>
    </row>
    <row r="65" ht="16" customHeight="1">
      <c r="A65" s="70" t="n"/>
      <c r="B65" s="70" t="n"/>
      <c r="C65" s="70" t="n"/>
      <c r="D65" s="385" t="inlineStr">
        <is>
          <t>Medical Sciences (pre-med pathway)</t>
        </is>
      </c>
      <c r="E65" s="373" t="inlineStr">
        <is>
          <t>Curious Mind</t>
        </is>
      </c>
    </row>
    <row r="66" ht="16" customHeight="1">
      <c r="A66" s="70" t="n"/>
      <c r="B66" s="70" t="n"/>
      <c r="C66" s="70" t="n"/>
      <c r="D66" s="146" t="inlineStr">
        <is>
          <t>Pharmacy (pre-professional pathway)</t>
        </is>
      </c>
      <c r="E66" s="384" t="inlineStr">
        <is>
          <t>—</t>
        </is>
      </c>
    </row>
    <row r="67" ht="16" customHeight="1">
      <c r="A67" s="70" t="n"/>
      <c r="B67" s="70" t="n"/>
      <c r="C67" s="70" t="n"/>
      <c r="D67" s="385" t="inlineStr">
        <is>
          <t>Dentistry (pre-professional pathway)</t>
        </is>
      </c>
      <c r="E67" s="373" t="inlineStr">
        <is>
          <t>—</t>
        </is>
      </c>
    </row>
    <row r="68" ht="16" customHeight="1">
      <c r="A68" s="71" t="n"/>
      <c r="B68" s="71" t="n"/>
      <c r="C68" s="71" t="n"/>
      <c r="D68" s="146" t="inlineStr">
        <is>
          <t>Social Work (BSW)</t>
        </is>
      </c>
      <c r="E68" s="384" t="inlineStr">
        <is>
          <t>Civic Thinker</t>
        </is>
      </c>
    </row>
    <row r="69" ht="16" customHeight="1">
      <c r="A69" s="73" t="n">
        <v>8</v>
      </c>
      <c r="B69" s="123" t="inlineStr">
        <is>
          <t>Results Driver</t>
        </is>
      </c>
      <c r="C69" s="144" t="inlineStr">
        <is>
          <t>Commerce, accounting, finance, marketing</t>
        </is>
      </c>
      <c r="D69" s="144" t="inlineStr">
        <is>
          <t>Commerce (BCom)</t>
        </is>
      </c>
      <c r="E69" s="386" t="inlineStr">
        <is>
          <t>—</t>
        </is>
      </c>
    </row>
    <row r="70" ht="16" customHeight="1">
      <c r="A70" s="70" t="n"/>
      <c r="B70" s="70" t="n"/>
      <c r="C70" s="70" t="n"/>
      <c r="D70" s="387" t="inlineStr">
        <is>
          <t>Accounting (BCom)</t>
        </is>
      </c>
      <c r="E70" s="373" t="inlineStr">
        <is>
          <t>—</t>
        </is>
      </c>
    </row>
    <row r="71" ht="16" customHeight="1">
      <c r="A71" s="70" t="n"/>
      <c r="B71" s="70" t="n"/>
      <c r="C71" s="70" t="n"/>
      <c r="D71" s="144" t="inlineStr">
        <is>
          <t>Finance (BCom)</t>
        </is>
      </c>
      <c r="E71" s="386" t="inlineStr">
        <is>
          <t>—</t>
        </is>
      </c>
    </row>
    <row r="72" ht="16" customHeight="1">
      <c r="A72" s="70" t="n"/>
      <c r="B72" s="70" t="n"/>
      <c r="C72" s="70" t="n"/>
      <c r="D72" s="387" t="inlineStr">
        <is>
          <t>Marketing (BCom)</t>
        </is>
      </c>
      <c r="E72" s="373" t="inlineStr">
        <is>
          <t>—</t>
        </is>
      </c>
    </row>
    <row r="73" ht="16" customHeight="1">
      <c r="A73" s="70" t="n"/>
      <c r="B73" s="70" t="n"/>
      <c r="C73" s="70" t="n"/>
      <c r="D73" s="144" t="inlineStr">
        <is>
          <t>Business Administration (BCom)</t>
        </is>
      </c>
      <c r="E73" s="386" t="inlineStr">
        <is>
          <t>—</t>
        </is>
      </c>
    </row>
    <row r="74" ht="16" customHeight="1">
      <c r="A74" s="70" t="n"/>
      <c r="B74" s="70" t="n"/>
      <c r="C74" s="70" t="n"/>
      <c r="D74" s="387" t="inlineStr">
        <is>
          <t>Information Systems (BCom)</t>
        </is>
      </c>
      <c r="E74" s="373" t="inlineStr">
        <is>
          <t>—</t>
        </is>
      </c>
    </row>
    <row r="75" ht="16" customHeight="1">
      <c r="A75" s="70" t="n"/>
      <c r="B75" s="70" t="n"/>
      <c r="C75" s="70" t="n"/>
      <c r="D75" s="144" t="inlineStr">
        <is>
          <t>Agricultural Business (BSc Agr)</t>
        </is>
      </c>
      <c r="E75" s="386" t="inlineStr">
        <is>
          <t>Earth Keeper</t>
        </is>
      </c>
    </row>
    <row r="76" ht="16" customHeight="1">
      <c r="A76" s="70" t="n"/>
      <c r="B76" s="70" t="n"/>
      <c r="C76" s="70" t="n"/>
      <c r="D76" s="387" t="inlineStr">
        <is>
          <t>International Food Business (BAgr)</t>
        </is>
      </c>
      <c r="E76" s="373" t="inlineStr">
        <is>
          <t>Earth Keeper</t>
        </is>
      </c>
    </row>
    <row r="77" ht="16" customHeight="1">
      <c r="A77" s="70" t="n"/>
      <c r="B77" s="70" t="n"/>
      <c r="C77" s="70" t="n"/>
      <c r="D77" s="144" t="inlineStr">
        <is>
          <t>Small Business Management (BTech)</t>
        </is>
      </c>
      <c r="E77" s="386" t="inlineStr">
        <is>
          <t>—</t>
        </is>
      </c>
    </row>
    <row r="78" ht="16" customHeight="1">
      <c r="A78" s="70" t="n"/>
      <c r="B78" s="70" t="n"/>
      <c r="C78" s="70" t="n"/>
      <c r="D78" s="387" t="inlineStr">
        <is>
          <t>Business Management — Agriculture (DipTech)</t>
        </is>
      </c>
      <c r="E78" s="373" t="inlineStr">
        <is>
          <t>—</t>
        </is>
      </c>
    </row>
    <row r="79" ht="16" customHeight="1">
      <c r="A79" s="71" t="n"/>
      <c r="B79" s="71" t="n"/>
      <c r="C79" s="71" t="n"/>
      <c r="D79" s="144" t="inlineStr">
        <is>
          <t>Entrepreneurship (BCom concentration)</t>
        </is>
      </c>
      <c r="E79" s="386" t="inlineStr">
        <is>
          <t>—</t>
        </is>
      </c>
    </row>
    <row r="80" ht="16" customHeight="1">
      <c r="A80" s="93" t="n">
        <v>9</v>
      </c>
      <c r="B80" s="129" t="inlineStr">
        <is>
          <t>Civic Thinker</t>
        </is>
      </c>
      <c r="C80" s="147" t="inlineStr">
        <is>
          <t>Political science, sociology, law, international development</t>
        </is>
      </c>
      <c r="D80" s="147" t="inlineStr">
        <is>
          <t>Political Science (BA)</t>
        </is>
      </c>
      <c r="E80" s="388" t="inlineStr">
        <is>
          <t>—</t>
        </is>
      </c>
    </row>
    <row r="81" ht="16" customHeight="1">
      <c r="A81" s="70" t="n"/>
      <c r="B81" s="70" t="n"/>
      <c r="C81" s="70" t="n"/>
      <c r="D81" s="389" t="inlineStr">
        <is>
          <t>Sociology (BA)</t>
        </is>
      </c>
      <c r="E81" s="373" t="inlineStr">
        <is>
          <t>—</t>
        </is>
      </c>
    </row>
    <row r="82" ht="16" customHeight="1">
      <c r="A82" s="70" t="n"/>
      <c r="B82" s="70" t="n"/>
      <c r="C82" s="70" t="n"/>
      <c r="D82" s="147" t="inlineStr">
        <is>
          <t>International Development Studies (BA)</t>
        </is>
      </c>
      <c r="E82" s="388" t="inlineStr">
        <is>
          <t>—</t>
        </is>
      </c>
    </row>
    <row r="83" ht="16" customHeight="1">
      <c r="A83" s="70" t="n"/>
      <c r="B83" s="70" t="n"/>
      <c r="C83" s="70" t="n"/>
      <c r="D83" s="389" t="inlineStr">
        <is>
          <t>Law (JD — post-undergraduate)</t>
        </is>
      </c>
      <c r="E83" s="373" t="inlineStr">
        <is>
          <t>—</t>
        </is>
      </c>
    </row>
    <row r="84" ht="16" customHeight="1">
      <c r="A84" s="70" t="n"/>
      <c r="B84" s="70" t="n"/>
      <c r="C84" s="70" t="n"/>
      <c r="D84" s="147" t="inlineStr">
        <is>
          <t>Philosophy (BA)</t>
        </is>
      </c>
      <c r="E84" s="388" t="inlineStr">
        <is>
          <t>Creative Soul</t>
        </is>
      </c>
    </row>
    <row r="85" ht="16" customHeight="1">
      <c r="A85" s="70" t="n"/>
      <c r="B85" s="70" t="n"/>
      <c r="C85" s="70" t="n"/>
      <c r="D85" s="389" t="inlineStr">
        <is>
          <t>History (BA)</t>
        </is>
      </c>
      <c r="E85" s="373" t="inlineStr">
        <is>
          <t>Creative Soul</t>
        </is>
      </c>
    </row>
    <row r="86" ht="16" customHeight="1">
      <c r="A86" s="70" t="n"/>
      <c r="B86" s="70" t="n"/>
      <c r="C86" s="70" t="n"/>
      <c r="D86" s="147" t="inlineStr">
        <is>
          <t>Public Administration (BA)</t>
        </is>
      </c>
      <c r="E86" s="388" t="inlineStr">
        <is>
          <t>—</t>
        </is>
      </c>
    </row>
    <row r="87" ht="16" customHeight="1">
      <c r="A87" s="70" t="n"/>
      <c r="B87" s="70" t="n"/>
      <c r="C87" s="70" t="n"/>
      <c r="D87" s="389" t="inlineStr">
        <is>
          <t>Gender &amp; Women's Studies (BA)</t>
        </is>
      </c>
      <c r="E87" s="373" t="inlineStr">
        <is>
          <t>—</t>
        </is>
      </c>
    </row>
    <row r="88" ht="16" customHeight="1">
      <c r="A88" s="70" t="n"/>
      <c r="B88" s="70" t="n"/>
      <c r="C88" s="70" t="n"/>
      <c r="D88" s="147" t="inlineStr">
        <is>
          <t>Indigenous Studies (BA)</t>
        </is>
      </c>
      <c r="E88" s="388" t="inlineStr">
        <is>
          <t>—</t>
        </is>
      </c>
    </row>
    <row r="89" ht="16" customHeight="1">
      <c r="A89" s="70" t="n"/>
      <c r="B89" s="70" t="n"/>
      <c r="C89" s="70" t="n"/>
      <c r="D89" s="389" t="inlineStr">
        <is>
          <t>African &amp; Diaspora Studies (BA)</t>
        </is>
      </c>
      <c r="E89" s="373" t="inlineStr">
        <is>
          <t>—</t>
        </is>
      </c>
    </row>
    <row r="90" ht="16" customHeight="1">
      <c r="A90" s="70" t="n"/>
      <c r="B90" s="70" t="n"/>
      <c r="C90" s="70" t="n"/>
      <c r="D90" s="147" t="inlineStr">
        <is>
          <t>Social Work (BSW)</t>
        </is>
      </c>
      <c r="E90" s="388" t="inlineStr">
        <is>
          <t>Caring Healer</t>
        </is>
      </c>
    </row>
    <row r="91" ht="16" customHeight="1">
      <c r="A91" s="70" t="n"/>
      <c r="B91" s="70" t="n"/>
      <c r="C91" s="70" t="n"/>
      <c r="D91" s="389" t="inlineStr">
        <is>
          <t>Criminology (BA)</t>
        </is>
      </c>
      <c r="E91" s="373" t="inlineStr">
        <is>
          <t>—</t>
        </is>
      </c>
    </row>
    <row r="92" ht="16" customHeight="1">
      <c r="A92" s="71" t="n"/>
      <c r="B92" s="71" t="n"/>
      <c r="C92" s="71" t="n"/>
      <c r="D92" s="147" t="inlineStr">
        <is>
          <t>Economics (BA/BSc)</t>
        </is>
      </c>
      <c r="E92" s="388" t="inlineStr">
        <is>
          <t>—</t>
        </is>
      </c>
    </row>
    <row r="93" ht="16" customHeight="1">
      <c r="A93" s="370" t="n">
        <v>10</v>
      </c>
      <c r="B93" s="366" t="inlineStr">
        <is>
          <t>Creative Soul</t>
        </is>
      </c>
      <c r="C93" s="367" t="inlineStr">
        <is>
          <t>English, theatre, music, fine arts, film</t>
        </is>
      </c>
      <c r="D93" s="367" t="inlineStr">
        <is>
          <t>English (BA)</t>
        </is>
      </c>
      <c r="E93" s="390" t="inlineStr">
        <is>
          <t>—</t>
        </is>
      </c>
    </row>
    <row r="94" ht="16" customHeight="1">
      <c r="A94" s="70" t="n"/>
      <c r="B94" s="70" t="n"/>
      <c r="C94" s="70" t="n"/>
      <c r="D94" s="391" t="inlineStr">
        <is>
          <t>Theatre (BA)</t>
        </is>
      </c>
      <c r="E94" s="373" t="inlineStr">
        <is>
          <t>—</t>
        </is>
      </c>
    </row>
    <row r="95" ht="16" customHeight="1">
      <c r="A95" s="70" t="n"/>
      <c r="B95" s="70" t="n"/>
      <c r="C95" s="70" t="n"/>
      <c r="D95" s="367" t="inlineStr">
        <is>
          <t>Music (BMus / BA)</t>
        </is>
      </c>
      <c r="E95" s="390" t="inlineStr">
        <is>
          <t>—</t>
        </is>
      </c>
    </row>
    <row r="96" ht="16" customHeight="1">
      <c r="A96" s="70" t="n"/>
      <c r="B96" s="70" t="n"/>
      <c r="C96" s="70" t="n"/>
      <c r="D96" s="391" t="inlineStr">
        <is>
          <t>Fine Arts (BFA)</t>
        </is>
      </c>
      <c r="E96" s="373" t="inlineStr">
        <is>
          <t>—</t>
        </is>
      </c>
    </row>
    <row r="97" ht="16" customHeight="1">
      <c r="A97" s="70" t="n"/>
      <c r="B97" s="70" t="n"/>
      <c r="C97" s="70" t="n"/>
      <c r="D97" s="367" t="inlineStr">
        <is>
          <t>Film Studies (BA)</t>
        </is>
      </c>
      <c r="E97" s="390" t="inlineStr">
        <is>
          <t>—</t>
        </is>
      </c>
    </row>
    <row r="98" ht="16" customHeight="1">
      <c r="A98" s="70" t="n"/>
      <c r="B98" s="70" t="n"/>
      <c r="C98" s="70" t="n"/>
      <c r="D98" s="391" t="inlineStr">
        <is>
          <t>Creative Writing (BA concentration)</t>
        </is>
      </c>
      <c r="E98" s="373" t="inlineStr">
        <is>
          <t>—</t>
        </is>
      </c>
    </row>
    <row r="99" ht="16" customHeight="1">
      <c r="A99" s="70" t="n"/>
      <c r="B99" s="70" t="n"/>
      <c r="C99" s="70" t="n"/>
      <c r="D99" s="367" t="inlineStr">
        <is>
          <t>Languages &amp; Linguistics (BA)</t>
        </is>
      </c>
      <c r="E99" s="390" t="inlineStr">
        <is>
          <t>—</t>
        </is>
      </c>
    </row>
    <row r="100" ht="16" customHeight="1">
      <c r="A100" s="70" t="n"/>
      <c r="B100" s="70" t="n"/>
      <c r="C100" s="70" t="n"/>
      <c r="D100" s="391" t="inlineStr">
        <is>
          <t>Communication Studies (BA)</t>
        </is>
      </c>
      <c r="E100" s="373" t="inlineStr">
        <is>
          <t>—</t>
        </is>
      </c>
    </row>
    <row r="101" ht="16" customHeight="1">
      <c r="A101" s="70" t="n"/>
      <c r="B101" s="70" t="n"/>
      <c r="C101" s="70" t="n"/>
      <c r="D101" s="367" t="inlineStr">
        <is>
          <t>Journalism (BA — King's College, affiliated)</t>
        </is>
      </c>
      <c r="E101" s="390" t="inlineStr">
        <is>
          <t>—</t>
        </is>
      </c>
    </row>
    <row r="102" ht="16" customHeight="1">
      <c r="A102" s="70" t="n"/>
      <c r="B102" s="70" t="n"/>
      <c r="C102" s="70" t="n"/>
      <c r="D102" s="391" t="inlineStr">
        <is>
          <t>Contemporary Studies (BA — King's College, affiliated)</t>
        </is>
      </c>
      <c r="E102" s="373" t="inlineStr">
        <is>
          <t>—</t>
        </is>
      </c>
    </row>
    <row r="103" ht="16" customHeight="1">
      <c r="A103" s="70" t="n"/>
      <c r="B103" s="70" t="n"/>
      <c r="C103" s="70" t="n"/>
      <c r="D103" s="367" t="inlineStr">
        <is>
          <t>History (BA)</t>
        </is>
      </c>
      <c r="E103" s="390" t="inlineStr">
        <is>
          <t>Civic Thinker</t>
        </is>
      </c>
    </row>
    <row r="104" ht="16" customHeight="1">
      <c r="A104" s="71" t="n"/>
      <c r="B104" s="71" t="n"/>
      <c r="C104" s="71" t="n"/>
      <c r="D104" s="391" t="inlineStr">
        <is>
          <t>Philosophy (BA)</t>
        </is>
      </c>
      <c r="E104" s="373" t="inlineStr">
        <is>
          <t>Civic Thinker</t>
        </is>
      </c>
    </row>
  </sheetData>
  <mergeCells count="32">
    <mergeCell ref="C4:C14"/>
    <mergeCell ref="A69:A79"/>
    <mergeCell ref="B25:B30"/>
    <mergeCell ref="C31:C37"/>
    <mergeCell ref="B58:B68"/>
    <mergeCell ref="B38:B48"/>
    <mergeCell ref="A93:A104"/>
    <mergeCell ref="A80:A92"/>
    <mergeCell ref="A2:F2"/>
    <mergeCell ref="C80:C92"/>
    <mergeCell ref="A15:A24"/>
    <mergeCell ref="C15:C24"/>
    <mergeCell ref="B69:B79"/>
    <mergeCell ref="A25:A30"/>
    <mergeCell ref="C25:C30"/>
    <mergeCell ref="A38:A48"/>
    <mergeCell ref="B49:B57"/>
    <mergeCell ref="A4:A14"/>
    <mergeCell ref="B4:B14"/>
    <mergeCell ref="A58:A68"/>
    <mergeCell ref="C69:C79"/>
    <mergeCell ref="C38:C48"/>
    <mergeCell ref="A31:A37"/>
    <mergeCell ref="B80:B92"/>
    <mergeCell ref="B93:B104"/>
    <mergeCell ref="C93:C104"/>
    <mergeCell ref="A49:A57"/>
    <mergeCell ref="C49:C57"/>
    <mergeCell ref="B31:B37"/>
    <mergeCell ref="A1:F1"/>
    <mergeCell ref="C58:C68"/>
    <mergeCell ref="B15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2026-05-25T19:52:43Z</dcterms:created>
  <dcterms:modified xmlns:dcterms="http://purl.org/dc/terms/" xmlns:xsi="http://www.w3.org/2001/XMLSchema-instance" xsi:type="dcterms:W3CDTF">2026-05-26T13:12:28Z</dcterms:modified>
</cp:coreProperties>
</file>