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https://dalu-my.sharepoint.com/personal/mt690283_dal_ca/Documents/MATT GGR OneDrive/DATA AND KPIS/Quiz Logic Models/Latest Version/files/"/>
    </mc:Choice>
  </mc:AlternateContent>
  <xr:revisionPtr revIDLastSave="0" documentId="8_{92CF6A98-3557-0F41-9130-8CBFB160B768}" xr6:coauthVersionLast="47" xr6:coauthVersionMax="47" xr10:uidLastSave="{00000000-0000-0000-0000-000000000000}"/>
  <bookViews>
    <workbookView xWindow="0" yWindow="680" windowWidth="34200" windowHeight="21460" xr2:uid="{00000000-000D-0000-FFFF-FFFF00000000}"/>
  </bookViews>
  <sheets>
    <sheet name="Version" sheetId="1" r:id="rId1"/>
    <sheet name="Trait Dimension Theory" sheetId="2" r:id="rId2"/>
    <sheet name="Archetype Profiles" sheetId="3" r:id="rId3"/>
    <sheet name="Score Simulator" sheetId="4" r:id="rId4"/>
    <sheet name="Q7-Q12 Direct Weights" sheetId="5" r:id="rId5"/>
    <sheet name="Dal Programs by Archetyp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5" i="4" l="1"/>
  <c r="C39" i="4" s="1"/>
  <c r="AI15" i="4"/>
  <c r="C38" i="4" s="1"/>
  <c r="AH15" i="4"/>
  <c r="C37" i="4" s="1"/>
  <c r="AG15" i="4"/>
  <c r="C36" i="4" s="1"/>
  <c r="AF15" i="4"/>
  <c r="C35" i="4" s="1"/>
  <c r="AE15" i="4"/>
  <c r="C34" i="4" s="1"/>
  <c r="AD15" i="4"/>
  <c r="C33" i="4" s="1"/>
  <c r="AC15" i="4"/>
  <c r="C32" i="4" s="1"/>
  <c r="AB15" i="4"/>
  <c r="C31" i="4" s="1"/>
  <c r="AA15" i="4"/>
  <c r="C30" i="4" s="1"/>
  <c r="P14" i="4"/>
  <c r="O14" i="4"/>
  <c r="N14" i="4"/>
  <c r="M14" i="4"/>
  <c r="L14" i="4"/>
  <c r="K14" i="4"/>
  <c r="J14" i="4"/>
  <c r="P13" i="4"/>
  <c r="O13" i="4"/>
  <c r="N13" i="4"/>
  <c r="M13" i="4"/>
  <c r="L13" i="4"/>
  <c r="K13" i="4"/>
  <c r="J13" i="4"/>
  <c r="P12" i="4"/>
  <c r="O12" i="4"/>
  <c r="N12" i="4"/>
  <c r="M12" i="4"/>
  <c r="L12" i="4"/>
  <c r="K12" i="4"/>
  <c r="J12" i="4"/>
  <c r="P11" i="4"/>
  <c r="O11" i="4"/>
  <c r="N11" i="4"/>
  <c r="M11" i="4"/>
  <c r="L11" i="4"/>
  <c r="K11" i="4"/>
  <c r="J11" i="4"/>
  <c r="Z10" i="4"/>
  <c r="B39" i="4" s="1"/>
  <c r="D39" i="4" s="1"/>
  <c r="D54" i="4" s="1"/>
  <c r="Y10" i="4"/>
  <c r="B38" i="4" s="1"/>
  <c r="D38" i="4" s="1"/>
  <c r="D53" i="4" s="1"/>
  <c r="X10" i="4"/>
  <c r="B37" i="4" s="1"/>
  <c r="W10" i="4"/>
  <c r="B36" i="4" s="1"/>
  <c r="V10" i="4"/>
  <c r="B35" i="4" s="1"/>
  <c r="U10" i="4"/>
  <c r="B34" i="4" s="1"/>
  <c r="T10" i="4"/>
  <c r="B33" i="4" s="1"/>
  <c r="S10" i="4"/>
  <c r="B32" i="4" s="1"/>
  <c r="R10" i="4"/>
  <c r="B31" i="4" s="1"/>
  <c r="D31" i="4" s="1"/>
  <c r="D46" i="4" s="1"/>
  <c r="Q10" i="4"/>
  <c r="B30" i="4" s="1"/>
  <c r="D30" i="4" s="1"/>
  <c r="D45" i="4" s="1"/>
  <c r="P9" i="4"/>
  <c r="O9" i="4"/>
  <c r="N9" i="4"/>
  <c r="M9" i="4"/>
  <c r="L9" i="4"/>
  <c r="K9" i="4"/>
  <c r="J9" i="4"/>
  <c r="P8" i="4"/>
  <c r="O8" i="4"/>
  <c r="N8" i="4"/>
  <c r="M8" i="4"/>
  <c r="L8" i="4"/>
  <c r="K8" i="4"/>
  <c r="J8" i="4"/>
  <c r="P7" i="4"/>
  <c r="O7" i="4"/>
  <c r="N7" i="4"/>
  <c r="M7" i="4"/>
  <c r="L7" i="4"/>
  <c r="K7" i="4"/>
  <c r="J7" i="4"/>
  <c r="P6" i="4"/>
  <c r="O6" i="4"/>
  <c r="N6" i="4"/>
  <c r="M6" i="4"/>
  <c r="L6" i="4"/>
  <c r="K6" i="4"/>
  <c r="J6" i="4"/>
  <c r="P5" i="4"/>
  <c r="O5" i="4"/>
  <c r="N5" i="4"/>
  <c r="M5" i="4"/>
  <c r="L5" i="4"/>
  <c r="K5" i="4"/>
  <c r="J5" i="4"/>
  <c r="P4" i="4"/>
  <c r="C26" i="4" s="1"/>
  <c r="E26" i="4" s="1"/>
  <c r="F26" i="4" s="1"/>
  <c r="O4" i="4"/>
  <c r="C25" i="4" s="1"/>
  <c r="E25" i="4" s="1"/>
  <c r="F25" i="4" s="1"/>
  <c r="N4" i="4"/>
  <c r="C24" i="4" s="1"/>
  <c r="E24" i="4" s="1"/>
  <c r="F24" i="4" s="1"/>
  <c r="M4" i="4"/>
  <c r="C23" i="4" s="1"/>
  <c r="E23" i="4" s="1"/>
  <c r="F23" i="4" s="1"/>
  <c r="L4" i="4"/>
  <c r="C22" i="4" s="1"/>
  <c r="E22" i="4" s="1"/>
  <c r="F22" i="4" s="1"/>
  <c r="K4" i="4"/>
  <c r="C21" i="4" s="1"/>
  <c r="E21" i="4" s="1"/>
  <c r="F21" i="4" s="1"/>
  <c r="J4" i="4"/>
  <c r="C20" i="4" s="1"/>
  <c r="D35" i="4" l="1"/>
  <c r="D50" i="4" s="1"/>
  <c r="D34" i="4"/>
  <c r="D49" i="4" s="1"/>
  <c r="C51" i="4"/>
  <c r="E20" i="4"/>
  <c r="F20" i="4" s="1"/>
  <c r="C54" i="4"/>
  <c r="E54" i="4" s="1"/>
  <c r="C46" i="4"/>
  <c r="E46" i="4" s="1"/>
  <c r="C49" i="4"/>
  <c r="E49" i="4" s="1"/>
  <c r="C52" i="4"/>
  <c r="E52" i="4" s="1"/>
  <c r="C47" i="4"/>
  <c r="C50" i="4"/>
  <c r="E50" i="4" s="1"/>
  <c r="C53" i="4"/>
  <c r="E53" i="4" s="1"/>
  <c r="C45" i="4"/>
  <c r="E45" i="4" s="1"/>
  <c r="C48" i="4"/>
  <c r="D36" i="4"/>
  <c r="D51" i="4" s="1"/>
  <c r="D32" i="4"/>
  <c r="D47" i="4" s="1"/>
  <c r="D33" i="4"/>
  <c r="D48" i="4" s="1"/>
  <c r="D37" i="4"/>
  <c r="D52" i="4" s="1"/>
  <c r="B65" i="4" l="1"/>
  <c r="B61" i="4"/>
  <c r="B60" i="4"/>
  <c r="F45" i="4"/>
  <c r="C62" i="4"/>
  <c r="B66" i="4"/>
  <c r="E51" i="4"/>
  <c r="E48" i="4"/>
  <c r="F50" i="4"/>
  <c r="G46" i="4"/>
  <c r="E47" i="4"/>
  <c r="G52" i="4" s="1"/>
  <c r="C66" i="4" l="1"/>
  <c r="F53" i="4"/>
  <c r="B68" i="4"/>
  <c r="C60" i="4"/>
  <c r="C69" i="4"/>
  <c r="G50" i="4"/>
  <c r="A56" i="4" s="1"/>
  <c r="B69" i="4"/>
  <c r="G48" i="4"/>
  <c r="F48" i="4"/>
  <c r="C61" i="4"/>
  <c r="F49" i="4"/>
  <c r="G45" i="4"/>
  <c r="F54" i="4"/>
  <c r="G54" i="4"/>
  <c r="C63" i="4"/>
  <c r="C64" i="4"/>
  <c r="G47" i="4"/>
  <c r="F47" i="4"/>
  <c r="B64" i="4"/>
  <c r="B63" i="4"/>
  <c r="G53" i="4"/>
  <c r="B67" i="4"/>
  <c r="C65" i="4"/>
  <c r="G49" i="4"/>
  <c r="G51" i="4"/>
  <c r="F51" i="4"/>
  <c r="F46" i="4"/>
  <c r="B62" i="4"/>
  <c r="C67" i="4"/>
  <c r="C68" i="4"/>
  <c r="F52" i="4"/>
</calcChain>
</file>

<file path=xl/sharedStrings.xml><?xml version="1.0" encoding="utf-8"?>
<sst xmlns="http://schemas.openxmlformats.org/spreadsheetml/2006/main" count="831" uniqueCount="410">
  <si>
    <t>Dal Find Your Path — Parameter Version</t>
  </si>
  <si>
    <t>Version</t>
  </si>
  <si>
    <t>1.5</t>
  </si>
  <si>
    <t>Update the version number in B3 every time you change this file. The quiz will detect the change and reload automatically.</t>
  </si>
  <si>
    <t>Last updated</t>
  </si>
  <si>
    <t>2024 — Dal Find Your Path quiz parameters</t>
  </si>
  <si>
    <t>Dal Find Your Path — Trait Dimension Theory v1.5</t>
  </si>
  <si>
    <t>v1.5: Q1 rebuilt with 8 options from survey of ON/BC/AB/NS provincial curricula. Key additions: History/Law/Society (Civic Thinker signal), PE/Health (Caring Healer/CON), Technology/Trades split from Business (CON vs LED — trades → engineering, business → commerce). Literature vs Performing Arts split by EXP. Sciences includes biology. v1.4 changes retained: Q2=group behaviour, Q4=performing/presenting, Q8=feedback style, Q10=rainy Sunday activity.</t>
  </si>
  <si>
    <t>Q#</t>
  </si>
  <si>
    <t>Answer option</t>
  </si>
  <si>
    <t>ANL</t>
  </si>
  <si>
    <t>CON</t>
  </si>
  <si>
    <t>CRE</t>
  </si>
  <si>
    <t>SOC</t>
  </si>
  <si>
    <t>EXP</t>
  </si>
  <si>
    <t>LED</t>
  </si>
  <si>
    <t>INV</t>
  </si>
  <si>
    <t>Rationale</t>
  </si>
  <si>
    <t>Q1: Which school subjects do you enjoy most?
A. Languages and literature — English, French, or other languages</t>
  </si>
  <si>
    <t>·</t>
  </si>
  <si>
    <t>Strong creative/expressive (language = communication). Slight social and INV (literature = human inquiry). Zero CON. Lower EXP than performing arts separates writers from performers.</t>
  </si>
  <si>
    <t xml:space="preserve">  B. Performing and visual arts — drama, music, visual art, dance, or media arts</t>
  </si>
  <si>
    <t>Strongly creative and expressive — highest EXP in Q1 (performance = audience-facing). Slight social and CON (making physical art objects). Zero analytical/INV. Pulls Creative Soul and Place Maker.</t>
  </si>
  <si>
    <t xml:space="preserve">  C. History, law, and society — history, geography, law, politics, philosophy, or Indigenous studies</t>
  </si>
  <si>
    <t>Strong INV (inquiry into how societies/events work). Moderate leadership (law/politics = influence) and social. Slight analytical/creative/expressive. Zero CON. Previously missing Civic Thinker signal — now corrected.</t>
  </si>
  <si>
    <t xml:space="preserve">  D. Physical education and health</t>
  </si>
  <si>
    <t>Moderate CON (embodied/physical). Moderate social (team sports). Slight expressive/leadership. Zero analytical/INV. Pulls Caring Healer (kinesiology/nursing/therapeutic rec) and partly Earth Keeper.</t>
  </si>
  <si>
    <t xml:space="preserve">  E. Mathematics or computer science</t>
  </si>
  <si>
    <t>Strongly analytical. Strong INV (mathematical/computational curiosity). Zero CON (pure abstraction). Slight creative and leadership. Pulls Digital Native and Curious Mind.</t>
  </si>
  <si>
    <t xml:space="preserve">  F. Sciences — biology, chemistry, physics, or environmental science</t>
  </si>
  <si>
    <t>Strongly INV. Strong analytical. Slight CON (lab work). Zero social/expressive/leadership. Separates from maths by higher INV and slight CON. Pulls Curious Mind and Natural Explorer.</t>
  </si>
  <si>
    <t xml:space="preserve">  G. Business, accounting, or entrepreneurship</t>
  </si>
  <si>
    <t>Strongly leadership (business = strategy/markets/running things). Moderate analytical. Slight creative/social/expressive. Zero CON and INV. Clearest Results Driver signal in Q1.</t>
  </si>
  <si>
    <t xml:space="preserve">  H. Technology education or trades — construction, manufacturing, design tech, culinary, or agricultural tech</t>
  </si>
  <si>
    <t>Strongly CON (physical making, hands-on, tools/materials). Moderate INV (how things work). Slight analytical/creative/leadership. Zero social/expressive. KEY SPLIT from business: trades student heading toward engineering/architecture not commerce. Pulls Bold Inventor and Earth Keeper.</t>
  </si>
  <si>
    <t>Q2: When you are part of a group working on something, you naturally ...
A. Step up, organise everyone, and drive it forward</t>
  </si>
  <si>
    <t>Strongly leadership. Moderate analytical/expressive. Slight social. Zero CON/INV.</t>
  </si>
  <si>
    <t xml:space="preserve">  B. Come up with ideas and hand them off to others to execute</t>
  </si>
  <si>
    <t>Strongly creative. Moderate expressive/INV. Slight social/leadership. Zero CON.</t>
  </si>
  <si>
    <t xml:space="preserve">  C. Focus on keeping everyone communicating and feeling good</t>
  </si>
  <si>
    <t>Strongly social. Moderate expressive. Slight creative/leadership. Zero CON/INV.</t>
  </si>
  <si>
    <t xml:space="preserve">  D. Put your head down and do the technical work well</t>
  </si>
  <si>
    <t>Strongly analytical/INV. Moderate CON. Zero social/expressive/leadership.</t>
  </si>
  <si>
    <t xml:space="preserve">  E. Ask questions until the group understands the problem before acting</t>
  </si>
  <si>
    <t>Strongly INV. Moderate analytical. Slight social/leadership. Zero CON/expressive.</t>
  </si>
  <si>
    <t xml:space="preserve">  F. Get practical — figure out what needs doing and start doing it</t>
  </si>
  <si>
    <t>Moderate CON (hands-on/applied). Moderate leadership. Slight analytical/social/INV. Zero expressive.</t>
  </si>
  <si>
    <t>Q3: Which school project would you be most proud of?
A. A piece of creative writing, music, or visual art</t>
  </si>
  <si>
    <t>Strongly creative. Moderate expressive. Zero CON.</t>
  </si>
  <si>
    <t xml:space="preserve">  B. A science experiment or field research report</t>
  </si>
  <si>
    <t>Strongly INV. Moderate analytical/CON. Pulls NE/CM.</t>
  </si>
  <si>
    <t xml:space="preserve">  C. A hands-on project with plants, animals, or food</t>
  </si>
  <si>
    <t>Strongly CON (living systems). Moderate social. LOW INV — nurturing not investigating. Clearest EK signal in Q3.</t>
  </si>
  <si>
    <t xml:space="preserve">  D. Writing code or building a data model that solves a real problem</t>
  </si>
  <si>
    <t>Strongly analytical. Strong INV. Zero CON. Pulls DN.</t>
  </si>
  <si>
    <t xml:space="preserve">  E. Organising an event or leading a group initiative</t>
  </si>
  <si>
    <t>Strongly leadership. Strong social/expressive. Zero CON/INV.</t>
  </si>
  <si>
    <t>Q4: How do you feel about presenting, performing, or speaking in front of people?
A. I love it — performing or presenting is where I feel most alive</t>
  </si>
  <si>
    <t>Strongly expressive/leadership. Moderate creative/social. Zero CON/INV. Peak EXP signal.</t>
  </si>
  <si>
    <t xml:space="preserve">  B. I am nervous beforehand but enjoy it once I am up there</t>
  </si>
  <si>
    <t>Strong expressive/leadership. Moderate creative/social. Zero CON/INV.</t>
  </si>
  <si>
    <t xml:space="preserve">  C. I prefer small groups or one-on-one — not a crowd</t>
  </si>
  <si>
    <t>Strong social. Slight creative/expressive/leadership/INV. Zero CON.</t>
  </si>
  <si>
    <t xml:space="preserve">  D. I will do it when needed but I would rather be behind the scenes</t>
  </si>
  <si>
    <t>Moderate analytical/creative/INV. Slight CON/leadership. Zero expressive/social.</t>
  </si>
  <si>
    <t xml:space="preserve">  E. I find it genuinely uncomfortable and avoid it when I can</t>
  </si>
  <si>
    <t>Moderate analytical/CON/INV. Slight creative. Zero expressive/social/leadership. Strong low-EXP signal.</t>
  </si>
  <si>
    <t>Q5: What motivates you most?
A. Making a discovery or understanding something new</t>
  </si>
  <si>
    <t>Strongly INV. Moderate analytical. Zero CON.</t>
  </si>
  <si>
    <t xml:space="preserve">  B. Helping someone through a difficult time</t>
  </si>
  <si>
    <t>Strongly social. Moderate expressive. Zero CON.</t>
  </si>
  <si>
    <t xml:space="preserve">  C. Tending and improving something that is already growing</t>
  </si>
  <si>
    <t>Moderate CON (stewardship/applied). Moderate social. LOW INV. EK signal.</t>
  </si>
  <si>
    <t xml:space="preserve">  D. Changing a system or structure that is not fair</t>
  </si>
  <si>
    <t>Strongly leadership. Strong social/expressive. Zero CON.</t>
  </si>
  <si>
    <t xml:space="preserve">  E. Making people see or feel something differently</t>
  </si>
  <si>
    <t>Strongly expressive/creative. Moderate social. Zero CON/INV.</t>
  </si>
  <si>
    <t xml:space="preserve">  F. Growing something — a business, a project, a team</t>
  </si>
  <si>
    <t>Strongly leadership. Moderate analytical/social/expressive. Slight CON.</t>
  </si>
  <si>
    <t>Q6: When faced with a problem, you first ...
A. Research it until you understand the underlying cause</t>
  </si>
  <si>
    <t xml:space="preserve">  B. Get your hands on it — try something practical and adjust from there</t>
  </si>
  <si>
    <t>Moderate CON (hands-on/applied). Low INV — doing before theorising. EK signal.</t>
  </si>
  <si>
    <t xml:space="preserve">  C. Write or talk through it to figure out what you think</t>
  </si>
  <si>
    <t>Strong creative/expressive. Slight social/leadership/INV. Zero CON.</t>
  </si>
  <si>
    <t xml:space="preserve">  D. Talk to the people affected by it</t>
  </si>
  <si>
    <t>Strongly social. Strong expressive. Moderate leadership. Zero CON.</t>
  </si>
  <si>
    <t xml:space="preserve">  E. Break it into logical steps and start executing</t>
  </si>
  <si>
    <t>Strongly analytical. Strong leadership. Moderate INV. Slight CON.</t>
  </si>
  <si>
    <t xml:space="preserve">  F. Look for the pattern — what is working, what is not, what the data says</t>
  </si>
  <si>
    <t>Strongly analytical. Strong INV. Moderate leadership. Zero CON.</t>
  </si>
  <si>
    <t>Q8: What kind of feedback feels most useful to you?
A. Specific and honest — tell me exactly what worked and what did not</t>
  </si>
  <si>
    <t>Strongly analytical. Moderate leadership/INV. Slight CON. Zero social/expressive.</t>
  </si>
  <si>
    <t xml:space="preserve">  B. Encouraging — acknowledge the effort and point me toward what is next</t>
  </si>
  <si>
    <t xml:space="preserve">  C. Challenging — push back hard and make me defend my thinking</t>
  </si>
  <si>
    <t>Strongly INV/leadership. Moderate analytical. Slight creative/expressive. Zero CON/social.</t>
  </si>
  <si>
    <t xml:space="preserve">  D. Light touch — flag the key issue and let me work the rest out myself</t>
  </si>
  <si>
    <t>Strongly INV (independent inquiry). Moderate analytical. Slight CON/creative/leadership.</t>
  </si>
  <si>
    <t xml:space="preserve">  E. Warm and personal — tell me how it landed and what it meant to people</t>
  </si>
  <si>
    <t>Strongly social. Strong expressive. Moderate creative. Zero CON/ANL/INV.</t>
  </si>
  <si>
    <t xml:space="preserve">  F. Show me — demonstrate or sketch what better looks like rather than explaining</t>
  </si>
  <si>
    <t>Moderate CON (hands-on/practical). Moderate creative. Slight analytical/social/INV. Zero expressive.</t>
  </si>
  <si>
    <t>Q9: Pick the activity you would most enjoy on a Saturday
A. Taking apart something mechanical to see how it works</t>
  </si>
  <si>
    <t>Strongly CON/INV/analytical. Pulls BI not EK.</t>
  </si>
  <si>
    <t xml:space="preserve">  B. Working with animals, plants, or in a garden</t>
  </si>
  <si>
    <t>Strongly CON. Moderate social. LOW INV. Clearest EK signal in Q9.</t>
  </si>
  <si>
    <t xml:space="preserve">  C. Working on a creative project — writing, music, or art</t>
  </si>
  <si>
    <t xml:space="preserve">  D. Organising a social event or volunteering</t>
  </si>
  <si>
    <t>Strongly social. Strong expressive/leadership. Zero CON/INV.</t>
  </si>
  <si>
    <t xml:space="preserve">  E. Tinkering with code, data, or a personal tech project</t>
  </si>
  <si>
    <t xml:space="preserve">  F. Hiking, diving, or exploring somewhere wild</t>
  </si>
  <si>
    <t>Moderate CON/INV. Slight creative. Pulls NE.</t>
  </si>
  <si>
    <t>Q10: It is a rainy Sunday and you decide to spend a few hours learning something new just for yourself. Which sounds most appealing?
A. Taking apart something broken to understand how it works, then fixing it</t>
  </si>
  <si>
    <t>Strongly CON (physical/hands-on). Strong INV. Moderate analytical. Zero social/expressive. Separates BI/EK from DN.</t>
  </si>
  <si>
    <t xml:space="preserve">  B. Reading about how a historical event or social movement unfolded</t>
  </si>
  <si>
    <t>Strongly INV. Moderate leadership/social. Slight analytical/creative. Zero CON/expressive. Pulls CT/CM.</t>
  </si>
  <si>
    <t xml:space="preserve">  C. Working through an online course in drawing, music, or creative writing</t>
  </si>
  <si>
    <t>Strongly creative. Moderate expressive. Zero CON. Pulls CS/PM.</t>
  </si>
  <si>
    <t xml:space="preserve">  D. Following a tutorial to build something in code or work through a data set</t>
  </si>
  <si>
    <t xml:space="preserve">  E. Spending time in the garden, with animals, or outdoors observing nature</t>
  </si>
  <si>
    <t>Strongly CON (living systems). Moderate INV. Slight social. Zero expressive. Separates EK from NE.</t>
  </si>
  <si>
    <t xml:space="preserve">  F. Listening to a podcast about how a successful person built something</t>
  </si>
  <si>
    <t>Strongly leadership. Moderate expressive. Slight analytical/social/INV. Zero CON. Pulls RD.</t>
  </si>
  <si>
    <t>Q11: When you imagine your future, what feels most right?
A. Working with animals, crops, or land — caring for living things</t>
  </si>
  <si>
    <t>Strongly CON/social. LOW INV. Strongest EK future vision.</t>
  </si>
  <si>
    <t xml:space="preserve">  B. In the field or at sea, investigating how natural systems work</t>
  </si>
  <si>
    <t>Strongly INV. Moderate CON/analytical. Pulls NE not EK.</t>
  </si>
  <si>
    <t xml:space="preserve">  C. In front of people — speaking, performing, teaching, or leading</t>
  </si>
  <si>
    <t>Strongly expressive. Strong social/leadership. Moderate creative. Zero CON/INV.</t>
  </si>
  <si>
    <t xml:space="preserve">  D. Behind the scenes — designing, building, writing, or making something</t>
  </si>
  <si>
    <t>Strongly creative. Moderate CON/analytical/INV. Pulls PM/CS.</t>
  </si>
  <si>
    <t xml:space="preserve">  E. Working with people one-on-one to help them through something hard</t>
  </si>
  <si>
    <t>Strongly social. Strong expressive. Moderate INV. Pulls CH.</t>
  </si>
  <si>
    <t xml:space="preserve">  F. Running something — a team, a project, a business, a campaign</t>
  </si>
  <si>
    <t>Strongly leadership. Strong expressive. Moderate analytical/social. Zero CON/INV. Pulls RD.</t>
  </si>
  <si>
    <t>Dal Find Your Path — Archetype Ideal Profiles (accumulated-total scale)</t>
  </si>
  <si>
    <t>STRUCTURAL FIX: Ideal scores now expressed in accumulated-total units (sum across 10 trait questions), not on an abstract 0-4 scale. This ensures the Euclidean distance calculation uses consistent units. Yellow cells are adjustable. Typical per-question max is 4; totals across 10 questions range 0-40 per dim.</t>
  </si>
  <si>
    <t>Dimension reference</t>
  </si>
  <si>
    <t>Code</t>
  </si>
  <si>
    <t>Dimension</t>
  </si>
  <si>
    <t>Grounding</t>
  </si>
  <si>
    <t>Description</t>
  </si>
  <si>
    <t>Analytical</t>
  </si>
  <si>
    <t>Big Five: Conscientiousness | Holland: Investigative/Conventional</t>
  </si>
  <si>
    <t>Score range 0-40 across 10 trait questions</t>
  </si>
  <si>
    <t>Concrete/Applied</t>
  </si>
  <si>
    <t>Big Five: Openness low-ideas | Holland: Realistic</t>
  </si>
  <si>
    <t>Creative/Expressive</t>
  </si>
  <si>
    <t>Big Five: Openness aesthetics | Holland: Artistic</t>
  </si>
  <si>
    <t>Social/Relational</t>
  </si>
  <si>
    <t>Big Five: Agreeableness | Holland: Social</t>
  </si>
  <si>
    <t>Expressive/Communicative</t>
  </si>
  <si>
    <t>Big Five: Extraversion assertiveness | Holland: Artistic-Social</t>
  </si>
  <si>
    <t>Leadership/Strategic</t>
  </si>
  <si>
    <t>Big Five: Extraversion + low Agree. | Holland: Enterprising</t>
  </si>
  <si>
    <t>Investigative/Scientific</t>
  </si>
  <si>
    <t>Big Five: Openness ideas | Holland: Investigative</t>
  </si>
  <si>
    <t>Archetype ideal profiles (accumulated-total scale)</t>
  </si>
  <si>
    <t>Type</t>
  </si>
  <si>
    <t>Note →</t>
  </si>
  <si>
    <t>Curious Mind</t>
  </si>
  <si>
    <t>Bold Inventor</t>
  </si>
  <si>
    <t>Digital Native</t>
  </si>
  <si>
    <t>Place Maker</t>
  </si>
  <si>
    <t>Earth Keeper</t>
  </si>
  <si>
    <t>Natural Explorer</t>
  </si>
  <si>
    <t>Caring Healer</t>
  </si>
  <si>
    <t>Results Driver</t>
  </si>
  <si>
    <t>Civic Thinker</t>
  </si>
  <si>
    <t>Creative Soul</t>
  </si>
  <si>
    <t>—</t>
  </si>
  <si>
    <t>Tagline</t>
  </si>
  <si>
    <t>You pursue questions until you find the answer — then you find a better question.</t>
  </si>
  <si>
    <t>You're not satisfied until an idea becomes something real that works.</t>
  </si>
  <si>
    <t>You see the logic underneath everything and build systems that think.</t>
  </si>
  <si>
    <t>You imagine what a space could be before anyone else sees it.</t>
  </si>
  <si>
    <t>You believe the future depends on how we treat living systems.</t>
  </si>
  <si>
    <t>You feel most alive outdoors, at sea, or in the field where real systems live.</t>
  </si>
  <si>
    <t>You notice when people are struggling and feel called to help them thrive.</t>
  </si>
  <si>
    <t>You set a goal, build a plan, and make it happen.</t>
  </si>
  <si>
    <t>You want to understand what makes societies work — and fix what doesn't.</t>
  </si>
  <si>
    <t>You process the world through expression and make others feel what you feel.</t>
  </si>
  <si>
    <t>Latent trait</t>
  </si>
  <si>
    <t>Ideal accumulated total (0-40, adjustable)</t>
  </si>
  <si>
    <t>Dal Find Your Path — Score Simulator v1.5</t>
  </si>
  <si>
    <t>v1.5: Q1 rebuilt with 8 options (ON/BC/AB/NS curricula survey). New: History/Law/Society, PE/Health, Technology/Trades split from Business. All other questions unchanged from v1.4.</t>
  </si>
  <si>
    <t>Question</t>
  </si>
  <si>
    <t>Opt A</t>
  </si>
  <si>
    <t>Opt B</t>
  </si>
  <si>
    <t>Opt C</t>
  </si>
  <si>
    <t>Opt D</t>
  </si>
  <si>
    <t>Opt E/F/G/H</t>
  </si>
  <si>
    <t>Choice</t>
  </si>
  <si>
    <t>Which school subjects do you enjoy most?</t>
  </si>
  <si>
    <t>A. Languages and literature — English, French, or other languages</t>
  </si>
  <si>
    <t>B. Performing and visual arts — drama, music, visual art, dance, or media arts</t>
  </si>
  <si>
    <t>C. History, law, and society — history, geography, law, politics, philosophy</t>
  </si>
  <si>
    <t>D. Physical education and health</t>
  </si>
  <si>
    <t>E. Mathematics or computer science
F. Sciences — biology, chemistry, physics, or environmental science
G. Business, accounting, or entrepreneurship
H. Technology education or trades — construction, manufacturing, design tech, culinary</t>
  </si>
  <si>
    <t>Trait (v1.5)</t>
  </si>
  <si>
    <t>When you are part of a group working on something, you naturally ...</t>
  </si>
  <si>
    <t>A. Step up, organise everyone, and drive it forward</t>
  </si>
  <si>
    <t>B. Come up with ideas and hand them off to others to execute</t>
  </si>
  <si>
    <t>C. Focus on keeping everyone communicating and feeling good</t>
  </si>
  <si>
    <t>D. Put your head down and do the technical work well</t>
  </si>
  <si>
    <t>E. Ask questions until the group understands the problem before acting
F. Get practical — figure out what needs doing and start doing it</t>
  </si>
  <si>
    <t>Trait</t>
  </si>
  <si>
    <t>Which school project would you be most proud of?</t>
  </si>
  <si>
    <t>A. A piece of creative writing, music, or visual art</t>
  </si>
  <si>
    <t>B. A science experiment or field research report</t>
  </si>
  <si>
    <t>C. A hands-on project with plants, animals, or food</t>
  </si>
  <si>
    <t>D. Writing code or building a data model that solves a real problem</t>
  </si>
  <si>
    <t>E. Organising an event or leading a group initiative</t>
  </si>
  <si>
    <t>How do you feel about presenting, performing, or speaking in front of people?</t>
  </si>
  <si>
    <t>A. I love it — performing or presenting is where I feel most alive</t>
  </si>
  <si>
    <t>B. I am nervous beforehand but enjoy it once I am up there</t>
  </si>
  <si>
    <t>C. I prefer small groups or one-on-one — not a crowd</t>
  </si>
  <si>
    <t>D. I will do it when needed but I would rather be behind the scenes</t>
  </si>
  <si>
    <t>E. I find it genuinely uncomfortable and avoid it when I can</t>
  </si>
  <si>
    <t>What motivates you most?</t>
  </si>
  <si>
    <t>A. Making a discovery or understanding something new</t>
  </si>
  <si>
    <t>B. Helping someone through a difficult time</t>
  </si>
  <si>
    <t>C. Tending and improving something that is already growing</t>
  </si>
  <si>
    <t>D. Changing a system or structure that is not fair</t>
  </si>
  <si>
    <t>E. Making people see or feel something differently
F. Growing something — a business, a project, a team</t>
  </si>
  <si>
    <t>When faced with a problem, you first ...</t>
  </si>
  <si>
    <t>A. Research it until you understand the underlying cause</t>
  </si>
  <si>
    <t>B. Get your hands on it — try something practical and adjust</t>
  </si>
  <si>
    <t>C. Write or talk through it to figure out what you think</t>
  </si>
  <si>
    <t>D. Talk to the people affected by it</t>
  </si>
  <si>
    <t>E. Break it into logical steps and start executing
F. Look for the pattern — what is working, what is not, what the data says</t>
  </si>
  <si>
    <t>What kind of career sounds most interesting to you?</t>
  </si>
  <si>
    <t>A. Health care professional, therapist, or recreation co-ordinator</t>
  </si>
  <si>
    <t>B. Politician, lawyer, or community advocate</t>
  </si>
  <si>
    <t>C. Engineer or architect</t>
  </si>
  <si>
    <t>D. Farmer, agronomist, veterinarian, or land/resource manager</t>
  </si>
  <si>
    <t>E. Environmental or ocean scientist
F. Software developer, data scientist, or AI researcher</t>
  </si>
  <si>
    <t>Direct weight</t>
  </si>
  <si>
    <t>What kind of feedback feels most useful to you?</t>
  </si>
  <si>
    <t>A. Specific and honest — tell me exactly what worked and what did not</t>
  </si>
  <si>
    <t>B. Encouraging — acknowledge the effort and point me toward what is next</t>
  </si>
  <si>
    <t>C. Challenging — push back hard and make me defend my thinking</t>
  </si>
  <si>
    <t>D. Light touch — flag the key issue and let me work the rest out myself</t>
  </si>
  <si>
    <t>E. Warm and personal — tell me how it landed and what it meant to people
F. Show me — demonstrate or sketch what better looks like rather than explaining</t>
  </si>
  <si>
    <t>Pick the activity you would most enjoy on a Saturday</t>
  </si>
  <si>
    <t>A. Taking apart something mechanical to see how it works</t>
  </si>
  <si>
    <t>B. Working with animals, plants, or in a garden</t>
  </si>
  <si>
    <t>C. Working on a creative project — writing, music, or art</t>
  </si>
  <si>
    <t>D. Organising a social event or volunteering</t>
  </si>
  <si>
    <t>E. Tinkering with code, data, or a personal tech project
F. Hiking, diving, or exploring somewhere wild</t>
  </si>
  <si>
    <t>It is a rainy Sunday and you decide to spend a few hours learning something new just for yourself. Which sounds most appealing?</t>
  </si>
  <si>
    <t>A. Taking apart something broken to understand how it works, then fixing it</t>
  </si>
  <si>
    <t>B. Reading about how a historical event or social movement unfolded</t>
  </si>
  <si>
    <t>C. Working through an online course in drawing, music, or creative writing</t>
  </si>
  <si>
    <t>D. Following a tutorial to build something in code or work through a data set</t>
  </si>
  <si>
    <t>E. Spending time in the garden, with animals, or outdoors observing nature
F. Listening to a podcast about how a successful person built something</t>
  </si>
  <si>
    <t>When you imagine your future, what feels most right?</t>
  </si>
  <si>
    <t>A. Working with animals, crops, or land — caring for living things</t>
  </si>
  <si>
    <t>B. In the field or at sea, investigating how natural systems work</t>
  </si>
  <si>
    <t>C. In front of people — speaking, performing, teaching, or leading</t>
  </si>
  <si>
    <t>D. Behind the scenes — designing, building, writing, or making something</t>
  </si>
  <si>
    <t>E. Working with people one-on-one to help them through something hard
F. Running something — a team, a project, a business, a campaign</t>
  </si>
  <si>
    <t>Which setting would you most enjoy working in?</t>
  </si>
  <si>
    <t>A. A lab or research facility</t>
  </si>
  <si>
    <t>B. A tech company or startup</t>
  </si>
  <si>
    <t>C. A studio, agency, or design firm</t>
  </si>
  <si>
    <t>D. Outdoors — field, farm, coast, or forest</t>
  </si>
  <si>
    <t>E. A hospital, clinic, or community health setting
F. A boardroom, trading floor, or business office</t>
  </si>
  <si>
    <t>Trait dimension totals  (Q1-Q6 and Q8-Q11)</t>
  </si>
  <si>
    <t>Your total</t>
  </si>
  <si>
    <t>Max possible</t>
  </si>
  <si>
    <t>% of max</t>
  </si>
  <si>
    <t>Visual profile</t>
  </si>
  <si>
    <t>ANL — Analytical</t>
  </si>
  <si>
    <t>CON — Concrete/Applied</t>
  </si>
  <si>
    <t>CRE — Creative</t>
  </si>
  <si>
    <t>SOC — Social</t>
  </si>
  <si>
    <t>EXP — Expressive</t>
  </si>
  <si>
    <t>LED — Leadership</t>
  </si>
  <si>
    <t>INV — Investigative</t>
  </si>
  <si>
    <t>Direct weight totals  (Q7 career + Q12 setting per archetype)</t>
  </si>
  <si>
    <t>Archetype</t>
  </si>
  <si>
    <t>Q7 weight</t>
  </si>
  <si>
    <t>Q12 weight</t>
  </si>
  <si>
    <t>Total direct</t>
  </si>
  <si>
    <t>Combined result — Euclidean distance (accumulated-total scale) adjusted by Q7/Q12 direct weights</t>
  </si>
  <si>
    <t>Adjusted score = Euclidean distance (accumulated totals vs ideal totals) minus (direct x 0.3). Lowest = best fit.</t>
  </si>
  <si>
    <t>Dal program theme</t>
  </si>
  <si>
    <t>Trait dist</t>
  </si>
  <si>
    <t>Direct pts</t>
  </si>
  <si>
    <t>Adj score</t>
  </si>
  <si>
    <t>Gap</t>
  </si>
  <si>
    <t>Confidence</t>
  </si>
  <si>
    <t>Science — biology, chemistry, physics, neuroscience</t>
  </si>
  <si>
    <t>Engineering — civil, mechanical, electrical, industrial</t>
  </si>
  <si>
    <t>Computer science, data science, AI, cognitive science</t>
  </si>
  <si>
    <t>Architecture, planning, landscape architecture</t>
  </si>
  <si>
    <t>Agriculture, animal science, aquaculture, plant science</t>
  </si>
  <si>
    <t>Oceanography, marine biology, environmental science</t>
  </si>
  <si>
    <t>Health sciences, kinesiology, nursing, therapeutic recreation</t>
  </si>
  <si>
    <t>Commerce, accounting, finance, marketing</t>
  </si>
  <si>
    <t>Political science, sociology, law, international development</t>
  </si>
  <si>
    <t>English, theatre, music, fine arts, film</t>
  </si>
  <si>
    <t>All archetypes ranked — lowest adjusted score = best fit</t>
  </si>
  <si>
    <t>Rank</t>
  </si>
  <si>
    <t>Adjusted score</t>
  </si>
  <si>
    <t>Q7 &amp; Q12 Direct Archetype Weights (Q7 expanded to 6 options)</t>
  </si>
  <si>
    <t>Q7 now has 6 options: added 'Farmer/agronomist/vet/land manager' (EK=6 direct points) and 'Software developer/data scientist' (DN=6). Engineer option now BI only. These are declared preferences — bypass trait layer entirely.</t>
  </si>
  <si>
    <t>Q7 — Career aspiration (direct archetype weights, 0-6 scale; 6=strongest signal)</t>
  </si>
  <si>
    <t>E. Environmental or ocean scientist</t>
  </si>
  <si>
    <t>F. Software developer, data scientist, or AI researcher</t>
  </si>
  <si>
    <t>Q12 — Work environment preference (direct archetype weights, 0-5 scale)</t>
  </si>
  <si>
    <t>E. A hospital, clinic, or community health setting</t>
  </si>
  <si>
    <t>F. A boardroom, trading floor, or business office</t>
  </si>
  <si>
    <t>Dalhousie University — Undergraduate Programs by Archetype</t>
  </si>
  <si>
    <t>Source: dal.ca/study/programs. Programs may appear under multiple archetypes where genuine cross-archetype fit exists.</t>
  </si>
  <si>
    <t>#</t>
  </si>
  <si>
    <t>Dal theme</t>
  </si>
  <si>
    <t>Program</t>
  </si>
  <si>
    <t>Also fits</t>
  </si>
  <si>
    <t>Science — biology, chemistry, physics, neuroscience, earth sciences</t>
  </si>
  <si>
    <t>Biology (BSc)</t>
  </si>
  <si>
    <t>Biochemistry &amp; Molecular Biology (BSc)</t>
  </si>
  <si>
    <t>Chemistry (BSc)</t>
  </si>
  <si>
    <t>Physics (BSc)</t>
  </si>
  <si>
    <t>Mathematics &amp; Statistics (BSc)</t>
  </si>
  <si>
    <t>Neuroscience (BSc)</t>
  </si>
  <si>
    <t>Earth Sciences (BSc)</t>
  </si>
  <si>
    <t>Integrated Science Program (BSc)</t>
  </si>
  <si>
    <t>Science (BSc — general)</t>
  </si>
  <si>
    <t>Bioveterinary Science (BSc)</t>
  </si>
  <si>
    <t>Medical Sciences (pre-med pathway)</t>
  </si>
  <si>
    <t>Civil Engineering (BEng)</t>
  </si>
  <si>
    <t>Electrical Engineering (BEng)</t>
  </si>
  <si>
    <t>Mechanical Engineering (BEng)</t>
  </si>
  <si>
    <t>Industrial Engineering (BEng)</t>
  </si>
  <si>
    <t>Environmental Engineering (BEng)</t>
  </si>
  <si>
    <t>Computer Engineering (BEng)</t>
  </si>
  <si>
    <t>Engineering (BEng — general)</t>
  </si>
  <si>
    <t>Diploma of Engineering</t>
  </si>
  <si>
    <t>Biomedical Engineering (BEng)</t>
  </si>
  <si>
    <t>Materials Engineering (BEng)</t>
  </si>
  <si>
    <t>Computer Science (BSc)</t>
  </si>
  <si>
    <t>Data Science (BSc)</t>
  </si>
  <si>
    <t>Cognitive Science (BSc)</t>
  </si>
  <si>
    <t>Computer Science &amp; Mathematics (BSc)</t>
  </si>
  <si>
    <t>Informatics (BSc)</t>
  </si>
  <si>
    <t>Artificial Intelligence (BSc)</t>
  </si>
  <si>
    <t>Architecture (BEnvD / MArch pathway)</t>
  </si>
  <si>
    <t>Planning (BCD)</t>
  </si>
  <si>
    <t>Landscape Architecture (BLA)</t>
  </si>
  <si>
    <t>Landscape Horticulture (Diploma)</t>
  </si>
  <si>
    <t>Managed Landscapes (Diploma)</t>
  </si>
  <si>
    <t>Environmental Design (BEnvD)</t>
  </si>
  <si>
    <t>Integrated Environmental Management (BSc)</t>
  </si>
  <si>
    <t>Agriculture (BSc)</t>
  </si>
  <si>
    <t>Animal Science (BSc Agr)</t>
  </si>
  <si>
    <t>Aquaculture (BSc Agr)</t>
  </si>
  <si>
    <t>Plant Science (BSc Agr)</t>
  </si>
  <si>
    <t>Agricultural Business (BSc Agr)</t>
  </si>
  <si>
    <t>Agricultural Economics (BSc Agr)</t>
  </si>
  <si>
    <t>Veterinary Technology (DipTech)</t>
  </si>
  <si>
    <t>International Food Business (BAgr)</t>
  </si>
  <si>
    <t>Environmental Sciences — Agriculture (BSc Agr)</t>
  </si>
  <si>
    <t>Small Business Management — Agriculture (BTech)</t>
  </si>
  <si>
    <t>Oceanography (BSc)</t>
  </si>
  <si>
    <t>Marine Biology (BSc)</t>
  </si>
  <si>
    <t>Environmental Science (BSc)</t>
  </si>
  <si>
    <t>Geography (BA/BSc)</t>
  </si>
  <si>
    <t>Sustainability (BSc)</t>
  </si>
  <si>
    <t>Health Promotion (BSc)</t>
  </si>
  <si>
    <t>Health Sciences (BSc)</t>
  </si>
  <si>
    <t>Kinesiology (BSc)</t>
  </si>
  <si>
    <t>Nursing (BScN)</t>
  </si>
  <si>
    <t>Physiotherapy (pre-professional BSc pathway)</t>
  </si>
  <si>
    <t>Recreation Management (BSc / BMgmt)</t>
  </si>
  <si>
    <t>Therapeutic Recreation (BSc)</t>
  </si>
  <si>
    <t>Pharmacy (pre-professional pathway)</t>
  </si>
  <si>
    <t>Dentistry (pre-professional pathway)</t>
  </si>
  <si>
    <t>Social Work (BSW)</t>
  </si>
  <si>
    <t>Commerce (BCom)</t>
  </si>
  <si>
    <t>Accounting (BCom)</t>
  </si>
  <si>
    <t>Finance (BCom)</t>
  </si>
  <si>
    <t>Marketing (BCom)</t>
  </si>
  <si>
    <t>Business Administration (BCom)</t>
  </si>
  <si>
    <t>Information Systems (BCom)</t>
  </si>
  <si>
    <t>Small Business Management (BTech)</t>
  </si>
  <si>
    <t>Business Management — Agriculture (DipTech)</t>
  </si>
  <si>
    <t>Entrepreneurship (BCom concentration)</t>
  </si>
  <si>
    <t>Political Science (BA)</t>
  </si>
  <si>
    <t>Sociology (BA)</t>
  </si>
  <si>
    <t>International Development Studies (BA)</t>
  </si>
  <si>
    <t>Law (JD — post-undergraduate)</t>
  </si>
  <si>
    <t>Philosophy (BA)</t>
  </si>
  <si>
    <t>History (BA)</t>
  </si>
  <si>
    <t>Public Administration (BA)</t>
  </si>
  <si>
    <t>Gender &amp; Women's Studies (BA)</t>
  </si>
  <si>
    <t>Indigenous Studies (BA)</t>
  </si>
  <si>
    <t>African &amp; Diaspora Studies (BA)</t>
  </si>
  <si>
    <t>Criminology (BA)</t>
  </si>
  <si>
    <t>Economics (BA/BSc)</t>
  </si>
  <si>
    <t>English (BA)</t>
  </si>
  <si>
    <t>Theatre (BA)</t>
  </si>
  <si>
    <t>Music (BMus / BA)</t>
  </si>
  <si>
    <t>Fine Arts (BFA)</t>
  </si>
  <si>
    <t>Film Studies (BA)</t>
  </si>
  <si>
    <t>Creative Writing (BA concentration)</t>
  </si>
  <si>
    <t>Languages &amp; Linguistics (BA)</t>
  </si>
  <si>
    <t>Communication Studies (BA)</t>
  </si>
  <si>
    <t>Journalism (BA — King's College, affiliated)</t>
  </si>
  <si>
    <t>Contemporary Studies (BA — King's College, affiliated)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</si>
</sst>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1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E5E1E"/>
      <name val="Arial"/>
      <family val="2"/>
    </font>
    <font>
      <b/>
      <sz val="10"/>
      <color rgb="FF0B3D6B"/>
      <name val="Arial"/>
      <family val="2"/>
    </font>
    <font>
      <b/>
      <sz val="10"/>
      <color rgb="FF7F3F00"/>
      <name val="Arial"/>
      <family val="2"/>
    </font>
    <font>
      <b/>
      <sz val="10"/>
      <color rgb="FF660000"/>
      <name val="Arial"/>
      <family val="2"/>
    </font>
    <font>
      <b/>
      <sz val="10"/>
      <color rgb="FF7F6000"/>
      <name val="Arial"/>
      <family val="2"/>
    </font>
    <font>
      <sz val="10"/>
      <color rgb="FF1E5E1E"/>
      <name val="Arial"/>
      <family val="2"/>
    </font>
    <font>
      <sz val="10"/>
      <color rgb="FF0B3D6B"/>
      <name val="Arial"/>
      <family val="2"/>
    </font>
    <font>
      <sz val="10"/>
      <color rgb="FF7F3F00"/>
      <name val="Arial"/>
      <family val="2"/>
    </font>
    <font>
      <sz val="10"/>
      <color rgb="FF7F6000"/>
      <name val="Arial"/>
      <family val="2"/>
    </font>
    <font>
      <b/>
      <sz val="12"/>
      <color rgb="FFFFFFFF"/>
      <name val="Arial"/>
      <family val="2"/>
    </font>
    <font>
      <i/>
      <sz val="9"/>
      <color rgb="FF595959"/>
      <name val="Arial"/>
      <family val="2"/>
    </font>
    <font>
      <sz val="9"/>
      <color rgb="FF595959"/>
      <name val="Arial"/>
      <family val="2"/>
    </font>
    <font>
      <b/>
      <sz val="10"/>
      <color rgb="FF1F3864"/>
      <name val="Arial"/>
      <family val="2"/>
    </font>
    <font>
      <b/>
      <sz val="10"/>
      <color rgb="FF4A235A"/>
      <name val="Arial"/>
      <family val="2"/>
    </font>
    <font>
      <sz val="10"/>
      <color rgb="FF4A235A"/>
      <name val="Arial"/>
      <family val="2"/>
    </font>
    <font>
      <sz val="9"/>
      <color rgb="FF0B3D6B"/>
      <name val="Arial"/>
      <family val="2"/>
    </font>
    <font>
      <sz val="9"/>
      <color rgb="FF4A235A"/>
      <name val="Arial"/>
      <family val="2"/>
    </font>
    <font>
      <sz val="9"/>
      <color rgb="FF7F3F00"/>
      <name val="Arial"/>
      <family val="2"/>
    </font>
    <font>
      <sz val="9"/>
      <color rgb="FF7F6000"/>
      <name val="Arial"/>
      <family val="2"/>
    </font>
    <font>
      <sz val="9"/>
      <color rgb="FF1E5E1E"/>
      <name val="Arial"/>
      <family val="2"/>
    </font>
    <font>
      <sz val="9"/>
      <color rgb="FF660000"/>
      <name val="Arial"/>
      <family val="2"/>
    </font>
    <font>
      <sz val="9"/>
      <color rgb="FF1F3864"/>
      <name val="Arial"/>
      <family val="2"/>
    </font>
    <font>
      <b/>
      <sz val="9"/>
      <color rgb="FF000000"/>
      <name val="Arial"/>
      <family val="2"/>
    </font>
    <font>
      <sz val="10"/>
      <color rgb="FFDDDDDD"/>
      <name val="Arial"/>
      <family val="2"/>
    </font>
    <font>
      <sz val="10"/>
      <color rgb="FF444444"/>
      <name val="Arial"/>
      <family val="2"/>
    </font>
    <font>
      <sz val="10"/>
      <color rgb="FFAAAAAA"/>
      <name val="Arial"/>
      <family val="2"/>
    </font>
    <font>
      <sz val="9"/>
      <color rgb="FF000000"/>
      <name val="Arial"/>
      <family val="2"/>
    </font>
    <font>
      <b/>
      <sz val="9"/>
      <color rgb="FF0B3D6B"/>
      <name val="Arial"/>
      <family val="2"/>
    </font>
    <font>
      <b/>
      <sz val="9"/>
      <color rgb="FF4A235A"/>
      <name val="Arial"/>
      <family val="2"/>
    </font>
    <font>
      <b/>
      <sz val="9"/>
      <color rgb="FF7F3F00"/>
      <name val="Arial"/>
      <family val="2"/>
    </font>
    <font>
      <b/>
      <sz val="9"/>
      <color rgb="FF7F6000"/>
      <name val="Arial"/>
      <family val="2"/>
    </font>
    <font>
      <b/>
      <sz val="9"/>
      <color rgb="FF1E5E1E"/>
      <name val="Arial"/>
      <family val="2"/>
    </font>
    <font>
      <b/>
      <sz val="9"/>
      <color rgb="FF660000"/>
      <name val="Arial"/>
      <family val="2"/>
    </font>
    <font>
      <b/>
      <sz val="9"/>
      <color rgb="FF1F3864"/>
      <name val="Arial"/>
      <family val="2"/>
    </font>
    <font>
      <b/>
      <sz val="12"/>
      <color rgb="FF000000"/>
      <name val="Arial"/>
      <family val="2"/>
    </font>
    <font>
      <i/>
      <sz val="9"/>
      <color rgb="FF444444"/>
      <name val="Arial"/>
      <family val="2"/>
    </font>
    <font>
      <b/>
      <sz val="13"/>
      <color rgb="FF7F6000"/>
      <name val="Arial"/>
      <family val="2"/>
    </font>
    <font>
      <sz val="9"/>
      <color rgb="FF666666"/>
      <name val="Arial"/>
      <family val="2"/>
    </font>
    <font>
      <b/>
      <sz val="8"/>
      <color rgb="FF7F6000"/>
      <name val="Arial"/>
      <family val="2"/>
    </font>
    <font>
      <b/>
      <sz val="8"/>
      <color rgb="FF7F3F00"/>
      <name val="Arial"/>
      <family val="2"/>
    </font>
    <font>
      <b/>
      <sz val="8"/>
      <color rgb="FF1F3864"/>
      <name val="Arial"/>
      <family val="2"/>
    </font>
    <font>
      <b/>
      <sz val="8"/>
      <color rgb="FF660000"/>
      <name val="Arial"/>
      <family val="2"/>
    </font>
    <font>
      <b/>
      <sz val="8"/>
      <color rgb="FF4A235A"/>
      <name val="Arial"/>
      <family val="2"/>
    </font>
    <font>
      <b/>
      <sz val="8"/>
      <color rgb="FF0B3D6B"/>
      <name val="Arial"/>
      <family val="2"/>
    </font>
    <font>
      <b/>
      <sz val="8"/>
      <color rgb="FF1E5E1E"/>
      <name val="Arial"/>
      <family val="2"/>
    </font>
    <font>
      <sz val="10"/>
      <color rgb="FFCCCCCC"/>
      <name val="Arial"/>
      <family val="2"/>
    </font>
    <font>
      <sz val="8"/>
      <color rgb="FFCCCCCC"/>
      <name val="Arial"/>
      <family val="2"/>
    </font>
    <font>
      <sz val="8"/>
      <color rgb="FFFFFFFF"/>
      <name val="Arial"/>
      <family val="2"/>
    </font>
    <font>
      <b/>
      <sz val="9"/>
      <color rgb="FF2D5016"/>
      <name val="Arial"/>
      <family val="2"/>
    </font>
    <font>
      <b/>
      <sz val="9"/>
      <color rgb="FF1C3A6B"/>
      <name val="Arial"/>
      <family val="2"/>
    </font>
    <font>
      <b/>
      <sz val="9"/>
      <color rgb="FF5B1040"/>
      <name val="Arial"/>
      <family val="2"/>
    </font>
    <font>
      <sz val="8"/>
      <color rgb="FF1E5E1E"/>
      <name val="Arial"/>
      <family val="2"/>
    </font>
    <font>
      <sz val="8"/>
      <color rgb="FF7F3F00"/>
      <name val="Arial"/>
      <family val="2"/>
    </font>
    <font>
      <sz val="8"/>
      <color rgb="FF0B3D6B"/>
      <name val="Arial"/>
      <family val="2"/>
    </font>
    <font>
      <sz val="8"/>
      <color rgb="FF4A235A"/>
      <name val="Arial"/>
      <family val="2"/>
    </font>
    <font>
      <sz val="8"/>
      <color rgb="FF2D5016"/>
      <name val="Arial"/>
      <family val="2"/>
    </font>
    <font>
      <sz val="8"/>
      <color rgb="FF1C3A6B"/>
      <name val="Arial"/>
      <family val="2"/>
    </font>
    <font>
      <sz val="8"/>
      <color rgb="FF660000"/>
      <name val="Arial"/>
      <family val="2"/>
    </font>
    <font>
      <sz val="8"/>
      <color rgb="FF7F6000"/>
      <name val="Arial"/>
      <family val="2"/>
    </font>
    <font>
      <sz val="8"/>
      <color rgb="FF1F3864"/>
      <name val="Arial"/>
      <family val="2"/>
    </font>
    <font>
      <sz val="8"/>
      <color rgb="FF5B1040"/>
      <name val="Arial"/>
      <family val="2"/>
    </font>
    <font>
      <b/>
      <sz val="10"/>
      <color rgb="FF5B1040"/>
      <name val="Arial"/>
      <family val="2"/>
    </font>
    <font>
      <b/>
      <sz val="10"/>
      <color rgb="FF2D5016"/>
      <name val="Arial"/>
      <family val="2"/>
    </font>
    <font>
      <b/>
      <sz val="10"/>
      <color rgb="FF1C3A6B"/>
      <name val="Arial"/>
      <family val="2"/>
    </font>
    <font>
      <b/>
      <sz val="8"/>
      <color rgb="FF2D5016"/>
      <name val="Arial"/>
      <family val="2"/>
    </font>
    <font>
      <b/>
      <sz val="8"/>
      <color rgb="FF1C3A6B"/>
      <name val="Arial"/>
      <family val="2"/>
    </font>
    <font>
      <b/>
      <sz val="8"/>
      <color rgb="FF5B1040"/>
      <name val="Arial"/>
      <family val="2"/>
    </font>
    <font>
      <sz val="9"/>
      <color rgb="FF2D5016"/>
      <name val="Arial"/>
      <family val="2"/>
    </font>
    <font>
      <sz val="9"/>
      <color rgb="FF1C3A6B"/>
      <name val="Arial"/>
      <family val="2"/>
    </font>
    <font>
      <sz val="9"/>
      <color rgb="FF5B1040"/>
      <name val="Arial"/>
      <family val="2"/>
    </font>
    <font>
      <sz val="8"/>
      <color rgb="FF666666"/>
      <name val="Arial"/>
      <family val="2"/>
    </font>
    <font>
      <sz val="8"/>
      <color rgb="FF333333"/>
      <name val="Arial"/>
      <family val="2"/>
    </font>
    <font>
      <sz val="8"/>
      <color rgb="FF000000"/>
      <name val="Arial"/>
      <family val="2"/>
    </font>
    <font>
      <sz val="8"/>
      <color rgb="FF888888"/>
      <name val="Arial"/>
      <family val="2"/>
    </font>
    <font>
      <sz val="10"/>
      <color rgb="FF2D5016"/>
      <name val="Arial"/>
      <family val="2"/>
    </font>
    <font>
      <sz val="10"/>
      <color rgb="FF5B1040"/>
      <name val="Arial"/>
      <family val="2"/>
    </font>
    <font>
      <b/>
      <sz val="9"/>
      <color rgb="FF7F5000"/>
      <name val="Arial"/>
      <family val="2"/>
    </font>
    <font>
      <sz val="8"/>
      <color rgb="FF7F5000"/>
      <name val="Arial"/>
      <family val="2"/>
    </font>
    <font>
      <sz val="9"/>
      <color rgb="FF7F5000"/>
      <name val="Arial"/>
      <family val="2"/>
    </font>
    <font>
      <b/>
      <sz val="10"/>
      <name val="Arial"/>
      <family val="2"/>
    </font>
    <font>
      <b/>
      <sz val="16"/>
      <color rgb="FFC8922A"/>
      <name val="Arial"/>
      <family val="2"/>
    </font>
    <font>
      <b/>
      <sz val="9"/>
      <color rgb="FF1B5E20"/>
      <name val="Arial"/>
      <family val="2"/>
    </font>
    <font>
      <sz val="8"/>
      <color rgb="FF1B5E20"/>
      <name val="Arial"/>
      <family val="2"/>
    </font>
    <font>
      <sz val="9"/>
      <color rgb="FF1B5E20"/>
      <name val="Arial"/>
      <family val="2"/>
    </font>
    <font>
      <b/>
      <sz val="10"/>
      <color rgb="FF1B5E20"/>
      <name val="Arial"/>
      <family val="2"/>
    </font>
    <font>
      <b/>
      <sz val="8"/>
      <color rgb="FF1B5E2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F4CCCC"/>
      </patternFill>
    </fill>
    <fill>
      <patternFill patternType="solid">
        <fgColor rgb="FFFFC000"/>
      </patternFill>
    </fill>
    <fill>
      <patternFill patternType="solid">
        <fgColor rgb="FFFFFF99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AD1DC"/>
      </patternFill>
    </fill>
    <fill>
      <patternFill patternType="solid">
        <fgColor rgb="FFDAE8FC"/>
      </patternFill>
    </fill>
    <fill>
      <patternFill patternType="solid">
        <fgColor rgb="FFD9EAD3"/>
      </patternFill>
    </fill>
    <fill>
      <patternFill patternType="solid">
        <fgColor rgb="FFEEF3FB"/>
      </patternFill>
    </fill>
    <fill>
      <patternFill patternType="solid">
        <fgColor rgb="FFF5F5F5"/>
      </patternFill>
    </fill>
    <fill>
      <patternFill patternType="solid">
        <fgColor rgb="FFCCCCCC"/>
      </patternFill>
    </fill>
    <fill>
      <patternFill patternType="solid">
        <fgColor rgb="FFD0E4C8"/>
      </patternFill>
    </fill>
    <fill>
      <patternFill patternType="solid">
        <fgColor rgb="FFC9DAF8"/>
      </patternFill>
    </fill>
    <fill>
      <patternFill patternType="solid">
        <fgColor rgb="FFF9D4E8"/>
      </patternFill>
    </fill>
    <fill>
      <patternFill patternType="solid">
        <fgColor rgb="FFD5E8D4"/>
      </patternFill>
    </fill>
    <fill>
      <patternFill patternType="solid">
        <fgColor rgb="FFFFF8E6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C8922A"/>
      </left>
      <right style="medium">
        <color rgb="FFC8922A"/>
      </right>
      <top style="medium">
        <color rgb="FFC8922A"/>
      </top>
      <bottom style="medium">
        <color rgb="FFC8922A"/>
      </bottom>
      <diagonal/>
    </border>
  </borders>
  <cellStyleXfs count="1">
    <xf numFmtId="0" fontId="0" fillId="0" borderId="0"/>
  </cellStyleXfs>
  <cellXfs count="25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0" fontId="21" fillId="11" borderId="1" xfId="0" applyFont="1" applyFill="1" applyBorder="1" applyAlignment="1">
      <alignment horizontal="left" vertical="center" wrapText="1"/>
    </xf>
    <xf numFmtId="0" fontId="22" fillId="9" borderId="1" xfId="0" applyFont="1" applyFill="1" applyBorder="1" applyAlignment="1">
      <alignment horizontal="left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24" fillId="13" borderId="1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7" fillId="14" borderId="1" xfId="0" applyFont="1" applyFill="1" applyBorder="1" applyAlignment="1">
      <alignment horizontal="left" vertical="center" wrapText="1"/>
    </xf>
    <xf numFmtId="0" fontId="28" fillId="3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left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2" fillId="12" borderId="1" xfId="0" applyFont="1" applyFill="1" applyBorder="1" applyAlignment="1">
      <alignment horizontal="left" vertical="center" wrapText="1"/>
    </xf>
    <xf numFmtId="9" fontId="6" fillId="12" borderId="1" xfId="0" applyNumberFormat="1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left" vertical="center" wrapText="1"/>
    </xf>
    <xf numFmtId="9" fontId="18" fillId="11" borderId="1" xfId="0" applyNumberFormat="1" applyFont="1" applyFill="1" applyBorder="1" applyAlignment="1">
      <alignment horizontal="center" vertical="center" wrapText="1"/>
    </xf>
    <xf numFmtId="0" fontId="34" fillId="9" borderId="1" xfId="0" applyFont="1" applyFill="1" applyBorder="1" applyAlignment="1">
      <alignment horizontal="left" vertical="center" wrapText="1"/>
    </xf>
    <xf numFmtId="9" fontId="7" fillId="9" borderId="1" xfId="0" applyNumberFormat="1" applyFont="1" applyFill="1" applyBorder="1" applyAlignment="1">
      <alignment horizontal="center" vertical="center" wrapText="1"/>
    </xf>
    <xf numFmtId="0" fontId="35" fillId="8" borderId="1" xfId="0" applyFont="1" applyFill="1" applyBorder="1" applyAlignment="1">
      <alignment horizontal="left" vertical="center" wrapText="1"/>
    </xf>
    <xf numFmtId="9" fontId="9" fillId="8" borderId="1" xfId="0" applyNumberFormat="1" applyFont="1" applyFill="1" applyBorder="1" applyAlignment="1">
      <alignment horizontal="center" vertical="center" wrapText="1"/>
    </xf>
    <xf numFmtId="0" fontId="36" fillId="13" borderId="1" xfId="0" applyFont="1" applyFill="1" applyBorder="1" applyAlignment="1">
      <alignment horizontal="left" vertical="center" wrapText="1"/>
    </xf>
    <xf numFmtId="9" fontId="5" fillId="13" borderId="1" xfId="0" applyNumberFormat="1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 wrapText="1"/>
    </xf>
    <xf numFmtId="2" fontId="9" fillId="6" borderId="1" xfId="0" applyNumberFormat="1" applyFont="1" applyFill="1" applyBorder="1" applyAlignment="1">
      <alignment horizontal="center" vertical="center" wrapText="1"/>
    </xf>
    <xf numFmtId="2" fontId="7" fillId="6" borderId="1" xfId="0" applyNumberFormat="1" applyFont="1" applyFill="1" applyBorder="1" applyAlignment="1">
      <alignment horizontal="center" vertical="center" wrapText="1"/>
    </xf>
    <xf numFmtId="2" fontId="17" fillId="6" borderId="1" xfId="0" applyNumberFormat="1" applyFont="1" applyFill="1" applyBorder="1" applyAlignment="1">
      <alignment horizontal="center" vertical="center" wrapText="1"/>
    </xf>
    <xf numFmtId="2" fontId="8" fillId="6" borderId="1" xfId="0" applyNumberFormat="1" applyFont="1" applyFill="1" applyBorder="1" applyAlignment="1">
      <alignment horizontal="center" vertical="center" wrapText="1"/>
    </xf>
    <xf numFmtId="2" fontId="18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2" fontId="5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left" vertical="center" wrapText="1"/>
    </xf>
    <xf numFmtId="2" fontId="4" fillId="15" borderId="1" xfId="0" applyNumberFormat="1" applyFont="1" applyFill="1" applyBorder="1" applyAlignment="1">
      <alignment horizontal="center" vertical="center" wrapText="1"/>
    </xf>
    <xf numFmtId="0" fontId="41" fillId="8" borderId="4" xfId="0" applyFont="1" applyFill="1" applyBorder="1" applyAlignment="1">
      <alignment horizontal="center" vertical="center" wrapText="1"/>
    </xf>
    <xf numFmtId="0" fontId="42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/>
    </xf>
    <xf numFmtId="0" fontId="42" fillId="11" borderId="1" xfId="0" applyFont="1" applyFill="1" applyBorder="1" applyAlignment="1">
      <alignment horizontal="center" vertical="center" wrapText="1"/>
    </xf>
    <xf numFmtId="0" fontId="19" fillId="11" borderId="1" xfId="0" applyFont="1" applyFill="1" applyBorder="1" applyAlignment="1">
      <alignment horizontal="left" vertical="center"/>
    </xf>
    <xf numFmtId="0" fontId="42" fillId="9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left" vertical="center"/>
    </xf>
    <xf numFmtId="0" fontId="42" fillId="8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left" vertical="center"/>
    </xf>
    <xf numFmtId="0" fontId="42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/>
    </xf>
    <xf numFmtId="2" fontId="9" fillId="8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 wrapText="1"/>
    </xf>
    <xf numFmtId="2" fontId="17" fillId="10" borderId="1" xfId="0" applyNumberFormat="1" applyFont="1" applyFill="1" applyBorder="1" applyAlignment="1">
      <alignment horizontal="center" vertical="center" wrapText="1"/>
    </xf>
    <xf numFmtId="2" fontId="8" fillId="4" borderId="1" xfId="0" applyNumberFormat="1" applyFont="1" applyFill="1" applyBorder="1" applyAlignment="1">
      <alignment horizontal="center" vertical="center" wrapText="1"/>
    </xf>
    <xf numFmtId="2" fontId="18" fillId="11" borderId="1" xfId="0" applyNumberFormat="1" applyFont="1" applyFill="1" applyBorder="1" applyAlignment="1">
      <alignment horizontal="center" vertical="center" wrapText="1"/>
    </xf>
    <xf numFmtId="2" fontId="6" fillId="12" borderId="1" xfId="0" applyNumberFormat="1" applyFont="1" applyFill="1" applyBorder="1" applyAlignment="1">
      <alignment horizontal="center" vertical="center" wrapText="1"/>
    </xf>
    <xf numFmtId="2" fontId="5" fillId="13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43" fillId="8" borderId="1" xfId="0" applyFont="1" applyFill="1" applyBorder="1" applyAlignment="1">
      <alignment horizontal="center" vertical="center" wrapText="1"/>
    </xf>
    <xf numFmtId="0" fontId="44" fillId="9" borderId="1" xfId="0" applyFont="1" applyFill="1" applyBorder="1" applyAlignment="1">
      <alignment horizontal="center" vertical="center" wrapText="1"/>
    </xf>
    <xf numFmtId="0" fontId="45" fillId="10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7" fillId="11" borderId="1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49" fillId="13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left" vertical="center" wrapText="1"/>
    </xf>
    <xf numFmtId="0" fontId="50" fillId="15" borderId="1" xfId="0" applyFont="1" applyFill="1" applyBorder="1" applyAlignment="1">
      <alignment horizontal="center" vertical="center" wrapText="1"/>
    </xf>
    <xf numFmtId="0" fontId="50" fillId="3" borderId="1" xfId="0" applyFont="1" applyFill="1" applyBorder="1" applyAlignment="1">
      <alignment horizontal="center" vertical="center" wrapText="1"/>
    </xf>
    <xf numFmtId="0" fontId="52" fillId="3" borderId="1" xfId="0" applyFont="1" applyFill="1" applyBorder="1" applyAlignment="1">
      <alignment horizontal="left" vertical="center" wrapText="1"/>
    </xf>
    <xf numFmtId="0" fontId="51" fillId="0" borderId="0" xfId="0" applyFont="1" applyAlignment="1">
      <alignment horizontal="center" vertical="center" wrapText="1"/>
    </xf>
    <xf numFmtId="0" fontId="52" fillId="14" borderId="1" xfId="0" applyFont="1" applyFill="1" applyBorder="1" applyAlignment="1">
      <alignment horizontal="left" vertical="center" wrapText="1"/>
    </xf>
    <xf numFmtId="0" fontId="44" fillId="9" borderId="1" xfId="0" applyFont="1" applyFill="1" applyBorder="1" applyAlignment="1">
      <alignment horizontal="left" vertical="center" wrapText="1"/>
    </xf>
    <xf numFmtId="0" fontId="45" fillId="10" borderId="1" xfId="0" applyFont="1" applyFill="1" applyBorder="1" applyAlignment="1">
      <alignment horizontal="left" vertical="center" wrapText="1"/>
    </xf>
    <xf numFmtId="0" fontId="36" fillId="13" borderId="1" xfId="0" applyFont="1" applyFill="1" applyBorder="1" applyAlignment="1">
      <alignment horizontal="center" vertical="center" wrapText="1"/>
    </xf>
    <xf numFmtId="0" fontId="34" fillId="9" borderId="1" xfId="0" applyFont="1" applyFill="1" applyBorder="1" applyAlignment="1">
      <alignment horizontal="center" vertical="center" wrapText="1"/>
    </xf>
    <xf numFmtId="0" fontId="32" fillId="1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 wrapText="1"/>
    </xf>
    <xf numFmtId="0" fontId="53" fillId="17" borderId="1" xfId="0" applyFont="1" applyFill="1" applyBorder="1" applyAlignment="1">
      <alignment horizontal="center" vertical="center" wrapText="1"/>
    </xf>
    <xf numFmtId="0" fontId="54" fillId="18" borderId="1" xfId="0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center" vertical="center" wrapText="1"/>
    </xf>
    <xf numFmtId="0" fontId="35" fillId="8" borderId="1" xfId="0" applyFont="1" applyFill="1" applyBorder="1" applyAlignment="1">
      <alignment horizontal="center" vertical="center" wrapText="1"/>
    </xf>
    <xf numFmtId="0" fontId="38" fillId="10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6" fillId="13" borderId="1" xfId="0" applyFont="1" applyFill="1" applyBorder="1" applyAlignment="1">
      <alignment horizontal="left" vertical="center" wrapText="1"/>
    </xf>
    <xf numFmtId="0" fontId="57" fillId="9" borderId="1" xfId="0" applyFont="1" applyFill="1" applyBorder="1" applyAlignment="1">
      <alignment horizontal="left" vertical="center" wrapText="1"/>
    </xf>
    <xf numFmtId="0" fontId="58" fillId="12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left" vertical="center" wrapText="1"/>
    </xf>
    <xf numFmtId="0" fontId="60" fillId="17" borderId="1" xfId="0" applyFont="1" applyFill="1" applyBorder="1" applyAlignment="1">
      <alignment horizontal="left" vertical="center" wrapText="1"/>
    </xf>
    <xf numFmtId="0" fontId="61" fillId="18" borderId="1" xfId="0" applyFont="1" applyFill="1" applyBorder="1" applyAlignment="1">
      <alignment horizontal="left" vertical="center" wrapText="1"/>
    </xf>
    <xf numFmtId="0" fontId="62" fillId="4" borderId="1" xfId="0" applyFont="1" applyFill="1" applyBorder="1" applyAlignment="1">
      <alignment horizontal="left" vertical="center" wrapText="1"/>
    </xf>
    <xf numFmtId="0" fontId="63" fillId="8" borderId="1" xfId="0" applyFont="1" applyFill="1" applyBorder="1" applyAlignment="1">
      <alignment horizontal="left" vertical="center" wrapText="1"/>
    </xf>
    <xf numFmtId="0" fontId="64" fillId="10" borderId="1" xfId="0" applyFont="1" applyFill="1" applyBorder="1" applyAlignment="1">
      <alignment horizontal="left" vertical="center" wrapText="1"/>
    </xf>
    <xf numFmtId="0" fontId="65" fillId="19" borderId="1" xfId="0" applyFont="1" applyFill="1" applyBorder="1" applyAlignment="1">
      <alignment horizontal="left" vertical="center" wrapText="1"/>
    </xf>
    <xf numFmtId="0" fontId="58" fillId="12" borderId="1" xfId="0" applyFont="1" applyFill="1" applyBorder="1" applyAlignment="1">
      <alignment horizontal="center" vertical="center" wrapText="1"/>
    </xf>
    <xf numFmtId="0" fontId="59" fillId="11" borderId="1" xfId="0" applyFont="1" applyFill="1" applyBorder="1" applyAlignment="1">
      <alignment horizontal="center" vertical="center" wrapText="1"/>
    </xf>
    <xf numFmtId="0" fontId="66" fillId="6" borderId="1" xfId="0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0" fontId="68" fillId="6" borderId="1" xfId="0" applyFont="1" applyFill="1" applyBorder="1" applyAlignment="1">
      <alignment horizontal="center" vertical="center" wrapText="1"/>
    </xf>
    <xf numFmtId="0" fontId="63" fillId="8" borderId="1" xfId="0" applyFont="1" applyFill="1" applyBorder="1" applyAlignment="1">
      <alignment horizontal="center" vertical="center" wrapText="1"/>
    </xf>
    <xf numFmtId="0" fontId="56" fillId="13" borderId="1" xfId="0" applyFont="1" applyFill="1" applyBorder="1" applyAlignment="1">
      <alignment horizontal="center" vertical="center" wrapText="1"/>
    </xf>
    <xf numFmtId="0" fontId="69" fillId="17" borderId="1" xfId="0" applyFont="1" applyFill="1" applyBorder="1" applyAlignment="1">
      <alignment horizontal="center" vertical="center" wrapText="1"/>
    </xf>
    <xf numFmtId="0" fontId="70" fillId="18" borderId="1" xfId="0" applyFont="1" applyFill="1" applyBorder="1" applyAlignment="1">
      <alignment horizontal="center" vertical="center" wrapText="1"/>
    </xf>
    <xf numFmtId="0" fontId="71" fillId="19" borderId="1" xfId="0" applyFont="1" applyFill="1" applyBorder="1" applyAlignment="1">
      <alignment horizontal="center" vertical="center" wrapText="1"/>
    </xf>
    <xf numFmtId="0" fontId="53" fillId="17" borderId="1" xfId="0" applyFont="1" applyFill="1" applyBorder="1" applyAlignment="1">
      <alignment horizontal="left" vertical="center" wrapText="1"/>
    </xf>
    <xf numFmtId="0" fontId="54" fillId="18" borderId="1" xfId="0" applyFont="1" applyFill="1" applyBorder="1" applyAlignment="1">
      <alignment horizontal="left" vertical="center" wrapText="1"/>
    </xf>
    <xf numFmtId="0" fontId="55" fillId="19" borderId="1" xfId="0" applyFont="1" applyFill="1" applyBorder="1" applyAlignment="1">
      <alignment horizontal="left" vertical="center" wrapText="1"/>
    </xf>
    <xf numFmtId="0" fontId="67" fillId="17" borderId="1" xfId="0" applyFont="1" applyFill="1" applyBorder="1" applyAlignment="1">
      <alignment horizontal="left" vertical="center" wrapText="1"/>
    </xf>
    <xf numFmtId="0" fontId="72" fillId="17" borderId="1" xfId="0" applyFont="1" applyFill="1" applyBorder="1" applyAlignment="1">
      <alignment horizontal="left" vertical="center" wrapText="1"/>
    </xf>
    <xf numFmtId="2" fontId="67" fillId="6" borderId="1" xfId="0" applyNumberFormat="1" applyFont="1" applyFill="1" applyBorder="1" applyAlignment="1">
      <alignment horizontal="center" vertical="center" wrapText="1"/>
    </xf>
    <xf numFmtId="2" fontId="67" fillId="17" borderId="1" xfId="0" applyNumberFormat="1" applyFont="1" applyFill="1" applyBorder="1" applyAlignment="1">
      <alignment horizontal="center" vertical="center" wrapText="1"/>
    </xf>
    <xf numFmtId="0" fontId="67" fillId="17" borderId="1" xfId="0" applyFont="1" applyFill="1" applyBorder="1" applyAlignment="1">
      <alignment horizontal="center" vertical="center" wrapText="1"/>
    </xf>
    <xf numFmtId="0" fontId="68" fillId="18" borderId="1" xfId="0" applyFont="1" applyFill="1" applyBorder="1" applyAlignment="1">
      <alignment horizontal="left" vertical="center" wrapText="1"/>
    </xf>
    <xf numFmtId="0" fontId="73" fillId="18" borderId="1" xfId="0" applyFont="1" applyFill="1" applyBorder="1" applyAlignment="1">
      <alignment horizontal="left" vertical="center" wrapText="1"/>
    </xf>
    <xf numFmtId="2" fontId="68" fillId="6" borderId="1" xfId="0" applyNumberFormat="1" applyFont="1" applyFill="1" applyBorder="1" applyAlignment="1">
      <alignment horizontal="center" vertical="center" wrapText="1"/>
    </xf>
    <xf numFmtId="2" fontId="68" fillId="18" borderId="1" xfId="0" applyNumberFormat="1" applyFont="1" applyFill="1" applyBorder="1" applyAlignment="1">
      <alignment horizontal="center" vertical="center" wrapText="1"/>
    </xf>
    <xf numFmtId="0" fontId="68" fillId="18" borderId="1" xfId="0" applyFont="1" applyFill="1" applyBorder="1" applyAlignment="1">
      <alignment horizontal="center" vertical="center" wrapText="1"/>
    </xf>
    <xf numFmtId="0" fontId="66" fillId="19" borderId="1" xfId="0" applyFont="1" applyFill="1" applyBorder="1" applyAlignment="1">
      <alignment horizontal="left" vertical="center" wrapText="1"/>
    </xf>
    <xf numFmtId="0" fontId="74" fillId="19" borderId="1" xfId="0" applyFont="1" applyFill="1" applyBorder="1" applyAlignment="1">
      <alignment horizontal="left" vertical="center" wrapText="1"/>
    </xf>
    <xf numFmtId="2" fontId="66" fillId="6" borderId="1" xfId="0" applyNumberFormat="1" applyFont="1" applyFill="1" applyBorder="1" applyAlignment="1">
      <alignment horizontal="center" vertical="center" wrapText="1"/>
    </xf>
    <xf numFmtId="2" fontId="66" fillId="19" borderId="1" xfId="0" applyNumberFormat="1" applyFont="1" applyFill="1" applyBorder="1" applyAlignment="1">
      <alignment horizontal="center" vertical="center" wrapText="1"/>
    </xf>
    <xf numFmtId="0" fontId="66" fillId="19" borderId="1" xfId="0" applyFont="1" applyFill="1" applyBorder="1" applyAlignment="1">
      <alignment horizontal="center" vertical="center" wrapText="1"/>
    </xf>
    <xf numFmtId="0" fontId="75" fillId="13" borderId="1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75" fillId="3" borderId="1" xfId="0" applyFont="1" applyFill="1" applyBorder="1" applyAlignment="1">
      <alignment horizontal="left" vertical="center" wrapText="1"/>
    </xf>
    <xf numFmtId="0" fontId="75" fillId="9" borderId="1" xfId="0" applyFont="1" applyFill="1" applyBorder="1" applyAlignment="1">
      <alignment horizontal="left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75" fillId="12" borderId="1" xfId="0" applyFont="1" applyFill="1" applyBorder="1" applyAlignment="1">
      <alignment horizontal="left" vertical="center" wrapText="1"/>
    </xf>
    <xf numFmtId="0" fontId="20" fillId="3" borderId="1" xfId="0" applyFont="1" applyFill="1" applyBorder="1" applyAlignment="1">
      <alignment horizontal="left" vertical="center" wrapText="1"/>
    </xf>
    <xf numFmtId="0" fontId="75" fillId="11" borderId="1" xfId="0" applyFont="1" applyFill="1" applyBorder="1" applyAlignment="1">
      <alignment horizontal="left" vertical="center" wrapText="1"/>
    </xf>
    <xf numFmtId="0" fontId="21" fillId="3" borderId="1" xfId="0" applyFont="1" applyFill="1" applyBorder="1" applyAlignment="1">
      <alignment horizontal="left" vertical="center" wrapText="1"/>
    </xf>
    <xf numFmtId="0" fontId="75" fillId="17" borderId="1" xfId="0" applyFont="1" applyFill="1" applyBorder="1" applyAlignment="1">
      <alignment horizontal="left" vertical="center" wrapText="1"/>
    </xf>
    <xf numFmtId="0" fontId="72" fillId="3" borderId="1" xfId="0" applyFont="1" applyFill="1" applyBorder="1" applyAlignment="1">
      <alignment horizontal="left" vertical="center" wrapText="1"/>
    </xf>
    <xf numFmtId="0" fontId="75" fillId="18" borderId="1" xfId="0" applyFont="1" applyFill="1" applyBorder="1" applyAlignment="1">
      <alignment horizontal="left" vertical="center" wrapText="1"/>
    </xf>
    <xf numFmtId="0" fontId="73" fillId="3" borderId="1" xfId="0" applyFont="1" applyFill="1" applyBorder="1" applyAlignment="1">
      <alignment horizontal="left" vertical="center" wrapText="1"/>
    </xf>
    <xf numFmtId="0" fontId="75" fillId="4" borderId="1" xfId="0" applyFont="1" applyFill="1" applyBorder="1" applyAlignment="1">
      <alignment horizontal="left" vertical="center" wrapText="1"/>
    </xf>
    <xf numFmtId="0" fontId="25" fillId="3" borderId="1" xfId="0" applyFont="1" applyFill="1" applyBorder="1" applyAlignment="1">
      <alignment horizontal="left" vertical="center" wrapText="1"/>
    </xf>
    <xf numFmtId="0" fontId="75" fillId="8" borderId="1" xfId="0" applyFont="1" applyFill="1" applyBorder="1" applyAlignment="1">
      <alignment horizontal="left" vertical="center" wrapText="1"/>
    </xf>
    <xf numFmtId="0" fontId="23" fillId="3" borderId="1" xfId="0" applyFont="1" applyFill="1" applyBorder="1" applyAlignment="1">
      <alignment horizontal="left" vertical="center" wrapText="1"/>
    </xf>
    <xf numFmtId="0" fontId="75" fillId="10" borderId="1" xfId="0" applyFont="1" applyFill="1" applyBorder="1" applyAlignment="1">
      <alignment horizontal="left" vertical="center" wrapText="1"/>
    </xf>
    <xf numFmtId="0" fontId="26" fillId="3" borderId="1" xfId="0" applyFont="1" applyFill="1" applyBorder="1" applyAlignment="1">
      <alignment horizontal="left" vertical="center" wrapText="1"/>
    </xf>
    <xf numFmtId="0" fontId="75" fillId="19" borderId="1" xfId="0" applyFont="1" applyFill="1" applyBorder="1" applyAlignment="1">
      <alignment horizontal="left" vertical="center" wrapText="1"/>
    </xf>
    <xf numFmtId="0" fontId="74" fillId="3" borderId="1" xfId="0" applyFont="1" applyFill="1" applyBorder="1" applyAlignment="1">
      <alignment horizontal="left" vertical="center" wrapText="1"/>
    </xf>
    <xf numFmtId="0" fontId="76" fillId="3" borderId="1" xfId="0" applyFont="1" applyFill="1" applyBorder="1" applyAlignment="1">
      <alignment horizontal="left" vertical="center" wrapText="1"/>
    </xf>
    <xf numFmtId="0" fontId="76" fillId="14" borderId="1" xfId="0" applyFont="1" applyFill="1" applyBorder="1" applyAlignment="1">
      <alignment horizontal="left" vertical="center" wrapText="1"/>
    </xf>
    <xf numFmtId="0" fontId="53" fillId="20" borderId="1" xfId="0" applyFont="1" applyFill="1" applyBorder="1" applyAlignment="1">
      <alignment horizontal="left" vertical="center" wrapText="1"/>
    </xf>
    <xf numFmtId="0" fontId="72" fillId="20" borderId="1" xfId="0" applyFont="1" applyFill="1" applyBorder="1" applyAlignment="1">
      <alignment horizontal="left" vertical="center" wrapText="1"/>
    </xf>
    <xf numFmtId="0" fontId="77" fillId="7" borderId="1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left" vertical="center" wrapText="1"/>
    </xf>
    <xf numFmtId="0" fontId="0" fillId="7" borderId="1" xfId="0" applyFill="1" applyBorder="1"/>
    <xf numFmtId="0" fontId="78" fillId="12" borderId="1" xfId="0" applyFont="1" applyFill="1" applyBorder="1" applyAlignment="1">
      <alignment horizontal="left" vertical="center" wrapText="1"/>
    </xf>
    <xf numFmtId="0" fontId="67" fillId="20" borderId="1" xfId="0" applyFont="1" applyFill="1" applyBorder="1" applyAlignment="1">
      <alignment horizontal="center" vertical="center" wrapText="1"/>
    </xf>
    <xf numFmtId="0" fontId="60" fillId="20" borderId="1" xfId="0" applyFont="1" applyFill="1" applyBorder="1" applyAlignment="1">
      <alignment horizontal="center" vertical="center" wrapText="1"/>
    </xf>
    <xf numFmtId="0" fontId="78" fillId="20" borderId="1" xfId="0" applyFont="1" applyFill="1" applyBorder="1" applyAlignment="1">
      <alignment horizontal="left" vertical="center" wrapText="1"/>
    </xf>
    <xf numFmtId="0" fontId="78" fillId="11" borderId="1" xfId="0" applyFont="1" applyFill="1" applyBorder="1" applyAlignment="1">
      <alignment horizontal="left" vertical="center" wrapText="1"/>
    </xf>
    <xf numFmtId="0" fontId="78" fillId="9" borderId="1" xfId="0" applyFont="1" applyFill="1" applyBorder="1" applyAlignment="1">
      <alignment horizontal="left" vertical="center" wrapText="1"/>
    </xf>
    <xf numFmtId="0" fontId="65" fillId="19" borderId="1" xfId="0" applyFont="1" applyFill="1" applyBorder="1" applyAlignment="1">
      <alignment horizontal="center" vertical="center" wrapText="1"/>
    </xf>
    <xf numFmtId="0" fontId="78" fillId="19" borderId="1" xfId="0" applyFont="1" applyFill="1" applyBorder="1" applyAlignment="1">
      <alignment horizontal="left" vertical="center" wrapText="1"/>
    </xf>
    <xf numFmtId="0" fontId="78" fillId="8" borderId="1" xfId="0" applyFont="1" applyFill="1" applyBorder="1" applyAlignment="1">
      <alignment horizontal="left" vertical="center" wrapText="1"/>
    </xf>
    <xf numFmtId="0" fontId="78" fillId="13" borderId="1" xfId="0" applyFont="1" applyFill="1" applyBorder="1" applyAlignment="1">
      <alignment horizontal="left" vertical="center" wrapText="1"/>
    </xf>
    <xf numFmtId="0" fontId="42" fillId="20" borderId="1" xfId="0" applyFont="1" applyFill="1" applyBorder="1" applyAlignment="1">
      <alignment horizontal="center" vertical="center" wrapText="1"/>
    </xf>
    <xf numFmtId="9" fontId="67" fillId="20" borderId="1" xfId="0" applyNumberFormat="1" applyFont="1" applyFill="1" applyBorder="1" applyAlignment="1">
      <alignment horizontal="center" vertical="center" wrapText="1"/>
    </xf>
    <xf numFmtId="0" fontId="79" fillId="20" borderId="1" xfId="0" applyFont="1" applyFill="1" applyBorder="1" applyAlignment="1">
      <alignment horizontal="left" vertical="center"/>
    </xf>
    <xf numFmtId="0" fontId="42" fillId="19" borderId="1" xfId="0" applyFont="1" applyFill="1" applyBorder="1" applyAlignment="1">
      <alignment horizontal="center" vertical="center" wrapText="1"/>
    </xf>
    <xf numFmtId="9" fontId="66" fillId="19" borderId="1" xfId="0" applyNumberFormat="1" applyFont="1" applyFill="1" applyBorder="1" applyAlignment="1">
      <alignment horizontal="center" vertical="center" wrapText="1"/>
    </xf>
    <xf numFmtId="0" fontId="80" fillId="19" borderId="1" xfId="0" applyFont="1" applyFill="1" applyBorder="1" applyAlignment="1">
      <alignment horizontal="left" vertical="center"/>
    </xf>
    <xf numFmtId="0" fontId="81" fillId="14" borderId="1" xfId="0" applyFont="1" applyFill="1" applyBorder="1" applyAlignment="1">
      <alignment horizontal="left" vertical="center" wrapText="1"/>
    </xf>
    <xf numFmtId="0" fontId="82" fillId="14" borderId="1" xfId="0" applyFont="1" applyFill="1" applyBorder="1" applyAlignment="1">
      <alignment horizontal="left" vertical="center" wrapText="1"/>
    </xf>
    <xf numFmtId="0" fontId="83" fillId="21" borderId="1" xfId="0" applyFont="1" applyFill="1" applyBorder="1" applyAlignment="1">
      <alignment horizontal="left" vertical="center" wrapText="1"/>
    </xf>
    <xf numFmtId="0" fontId="82" fillId="21" borderId="1" xfId="0" applyFont="1" applyFill="1" applyBorder="1" applyAlignment="1">
      <alignment horizontal="left" vertical="center" wrapText="1"/>
    </xf>
    <xf numFmtId="0" fontId="84" fillId="0" borderId="0" xfId="0" applyFont="1" applyAlignment="1">
      <alignment horizontal="left" vertical="center"/>
    </xf>
    <xf numFmtId="0" fontId="85" fillId="8" borderId="5" xfId="0" applyFont="1" applyFill="1" applyBorder="1" applyAlignment="1">
      <alignment horizontal="center" vertical="center"/>
    </xf>
    <xf numFmtId="0" fontId="16" fillId="0" borderId="0" xfId="0" applyFont="1"/>
    <xf numFmtId="0" fontId="86" fillId="14" borderId="1" xfId="0" applyFont="1" applyFill="1" applyBorder="1" applyAlignment="1">
      <alignment horizontal="left" vertical="center" wrapText="1"/>
    </xf>
    <xf numFmtId="0" fontId="87" fillId="14" borderId="1" xfId="0" applyFont="1" applyFill="1" applyBorder="1" applyAlignment="1">
      <alignment horizontal="left" vertical="center" wrapText="1"/>
    </xf>
    <xf numFmtId="0" fontId="88" fillId="22" borderId="1" xfId="0" applyFont="1" applyFill="1" applyBorder="1" applyAlignment="1">
      <alignment horizontal="left" vertical="center" wrapText="1"/>
    </xf>
    <xf numFmtId="0" fontId="87" fillId="22" borderId="1" xfId="0" applyFont="1" applyFill="1" applyBorder="1" applyAlignment="1">
      <alignment horizontal="left" vertical="center" wrapText="1"/>
    </xf>
    <xf numFmtId="0" fontId="77" fillId="14" borderId="1" xfId="0" applyFont="1" applyFill="1" applyBorder="1" applyAlignment="1">
      <alignment horizontal="left" vertical="center" wrapText="1"/>
    </xf>
    <xf numFmtId="0" fontId="77" fillId="3" borderId="1" xfId="0" applyFont="1" applyFill="1" applyBorder="1" applyAlignment="1">
      <alignment horizontal="left" vertical="center" wrapText="1"/>
    </xf>
    <xf numFmtId="0" fontId="77" fillId="15" borderId="1" xfId="0" applyFont="1" applyFill="1" applyBorder="1" applyAlignment="1">
      <alignment horizontal="left" vertical="center" wrapText="1"/>
    </xf>
    <xf numFmtId="0" fontId="89" fillId="22" borderId="1" xfId="0" applyFont="1" applyFill="1" applyBorder="1" applyAlignment="1">
      <alignment horizontal="center" vertical="center" wrapText="1"/>
    </xf>
    <xf numFmtId="0" fontId="86" fillId="22" borderId="1" xfId="0" applyFont="1" applyFill="1" applyBorder="1" applyAlignment="1">
      <alignment horizontal="left" vertical="center" wrapText="1"/>
    </xf>
    <xf numFmtId="0" fontId="90" fillId="22" borderId="1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center" vertical="center"/>
    </xf>
    <xf numFmtId="0" fontId="0" fillId="0" borderId="0" xfId="0"/>
    <xf numFmtId="0" fontId="15" fillId="7" borderId="0" xfId="0" applyFont="1" applyFill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40" fillId="7" borderId="0" xfId="0" applyFont="1" applyFill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4" fillId="16" borderId="0" xfId="0" applyFont="1" applyFill="1" applyAlignment="1">
      <alignment horizontal="left" vertical="center" wrapText="1"/>
    </xf>
    <xf numFmtId="0" fontId="39" fillId="5" borderId="0" xfId="0" applyFont="1" applyFill="1" applyAlignment="1">
      <alignment horizontal="left" vertical="center" wrapText="1"/>
    </xf>
    <xf numFmtId="0" fontId="17" fillId="10" borderId="0" xfId="0" applyFont="1" applyFill="1" applyAlignment="1">
      <alignment horizontal="left" vertical="center" wrapText="1"/>
    </xf>
    <xf numFmtId="0" fontId="7" fillId="9" borderId="0" xfId="0" applyFont="1" applyFill="1" applyAlignment="1">
      <alignment horizontal="left" vertical="center" wrapText="1"/>
    </xf>
    <xf numFmtId="0" fontId="24" fillId="13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9" fillId="8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1" fillId="11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67" fillId="17" borderId="1" xfId="0" applyFont="1" applyFill="1" applyBorder="1" applyAlignment="1">
      <alignment horizontal="left" vertical="center" wrapText="1"/>
    </xf>
    <xf numFmtId="0" fontId="66" fillId="19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left" vertical="center" wrapText="1"/>
    </xf>
    <xf numFmtId="0" fontId="67" fillId="17" borderId="1" xfId="0" applyFont="1" applyFill="1" applyBorder="1" applyAlignment="1">
      <alignment horizontal="center" vertical="center" wrapText="1"/>
    </xf>
    <xf numFmtId="0" fontId="68" fillId="18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72" fillId="17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66" fillId="19" borderId="1" xfId="0" applyFont="1" applyFill="1" applyBorder="1" applyAlignment="1">
      <alignment horizontal="left" vertical="center" wrapText="1"/>
    </xf>
    <xf numFmtId="0" fontId="74" fillId="19" borderId="1" xfId="0" applyFont="1" applyFill="1" applyBorder="1" applyAlignment="1">
      <alignment horizontal="left" vertical="center" wrapText="1"/>
    </xf>
    <xf numFmtId="0" fontId="68" fillId="18" borderId="1" xfId="0" applyFont="1" applyFill="1" applyBorder="1" applyAlignment="1">
      <alignment horizontal="center" vertical="center" wrapText="1"/>
    </xf>
    <xf numFmtId="0" fontId="73" fillId="18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5" fillId="4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tabSelected="1" workbookViewId="0">
      <selection activeCell="E14" sqref="E14"/>
    </sheetView>
  </sheetViews>
  <sheetFormatPr baseColWidth="10" defaultColWidth="8.83203125" defaultRowHeight="15" x14ac:dyDescent="0.2"/>
  <cols>
    <col min="1" max="1" width="16" customWidth="1"/>
    <col min="2" max="2" width="12" customWidth="1"/>
  </cols>
  <sheetData>
    <row r="1" spans="1:4" ht="24" customHeight="1" x14ac:dyDescent="0.2">
      <c r="A1" s="212" t="s">
        <v>0</v>
      </c>
      <c r="B1" s="213"/>
      <c r="C1" s="213"/>
      <c r="D1" s="213"/>
    </row>
    <row r="3" spans="1:4" ht="32" customHeight="1" x14ac:dyDescent="0.2">
      <c r="A3" s="199" t="s">
        <v>1</v>
      </c>
      <c r="B3" s="200" t="s">
        <v>2</v>
      </c>
    </row>
    <row r="5" spans="1:4" ht="32" customHeight="1" x14ac:dyDescent="0.2">
      <c r="A5" s="214" t="s">
        <v>3</v>
      </c>
      <c r="B5" s="213"/>
      <c r="C5" s="213"/>
      <c r="D5" s="213"/>
    </row>
    <row r="7" spans="1:4" ht="16" customHeight="1" x14ac:dyDescent="0.2">
      <c r="A7" s="201" t="s">
        <v>4</v>
      </c>
      <c r="B7" s="201" t="s">
        <v>5</v>
      </c>
    </row>
  </sheetData>
  <mergeCells count="2">
    <mergeCell ref="A1:D1"/>
    <mergeCell ref="A5:D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3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4" customWidth="1"/>
    <col min="2" max="2" width="48" customWidth="1"/>
    <col min="3" max="9" width="6" customWidth="1"/>
    <col min="10" max="10" width="56" customWidth="1"/>
  </cols>
  <sheetData>
    <row r="1" spans="1:10" ht="24" customHeight="1" x14ac:dyDescent="0.2">
      <c r="A1" s="216" t="s">
        <v>6</v>
      </c>
      <c r="B1" s="213"/>
      <c r="C1" s="213"/>
      <c r="D1" s="213"/>
      <c r="E1" s="213"/>
      <c r="F1" s="213"/>
      <c r="G1" s="213"/>
      <c r="H1" s="213"/>
      <c r="I1" s="213"/>
      <c r="J1" s="213"/>
    </row>
    <row r="2" spans="1:10" ht="24" customHeight="1" x14ac:dyDescent="0.2">
      <c r="A2" s="218" t="s">
        <v>7</v>
      </c>
      <c r="B2" s="213"/>
      <c r="C2" s="213"/>
      <c r="D2" s="213"/>
      <c r="E2" s="213"/>
      <c r="F2" s="213"/>
      <c r="G2" s="213"/>
      <c r="H2" s="213"/>
      <c r="I2" s="213"/>
      <c r="J2" s="213"/>
    </row>
    <row r="3" spans="1:10" ht="24" customHeight="1" x14ac:dyDescent="0.2">
      <c r="A3" s="1" t="s">
        <v>8</v>
      </c>
      <c r="B3" s="1" t="s">
        <v>9</v>
      </c>
      <c r="C3" s="11" t="s">
        <v>10</v>
      </c>
      <c r="D3" s="180" t="s">
        <v>11</v>
      </c>
      <c r="E3" s="10" t="s">
        <v>12</v>
      </c>
      <c r="F3" s="7" t="s">
        <v>13</v>
      </c>
      <c r="G3" s="150" t="s">
        <v>14</v>
      </c>
      <c r="H3" s="6" t="s">
        <v>15</v>
      </c>
      <c r="I3" s="12" t="s">
        <v>16</v>
      </c>
      <c r="J3" s="1" t="s">
        <v>17</v>
      </c>
    </row>
    <row r="4" spans="1:10" ht="28" customHeight="1" x14ac:dyDescent="0.2">
      <c r="A4" s="215">
        <v>1</v>
      </c>
      <c r="B4" s="202" t="s">
        <v>18</v>
      </c>
      <c r="C4" s="28" t="s">
        <v>19</v>
      </c>
      <c r="D4" s="28" t="s">
        <v>19</v>
      </c>
      <c r="E4" s="10">
        <v>3</v>
      </c>
      <c r="F4" s="30">
        <v>1</v>
      </c>
      <c r="G4" s="150">
        <v>3</v>
      </c>
      <c r="H4" s="28" t="s">
        <v>19</v>
      </c>
      <c r="I4" s="30">
        <v>1</v>
      </c>
      <c r="J4" s="203" t="s">
        <v>20</v>
      </c>
    </row>
    <row r="5" spans="1:10" ht="28" customHeight="1" x14ac:dyDescent="0.2">
      <c r="A5" s="213"/>
      <c r="B5" s="204" t="s">
        <v>21</v>
      </c>
      <c r="C5" s="28" t="s">
        <v>19</v>
      </c>
      <c r="D5" s="30">
        <v>1</v>
      </c>
      <c r="E5" s="10">
        <v>4</v>
      </c>
      <c r="F5" s="30">
        <v>1</v>
      </c>
      <c r="G5" s="150">
        <v>4</v>
      </c>
      <c r="H5" s="28" t="s">
        <v>19</v>
      </c>
      <c r="I5" s="28" t="s">
        <v>19</v>
      </c>
      <c r="J5" s="205" t="s">
        <v>22</v>
      </c>
    </row>
    <row r="6" spans="1:10" ht="28" customHeight="1" x14ac:dyDescent="0.2">
      <c r="A6" s="213"/>
      <c r="B6" s="204" t="s">
        <v>23</v>
      </c>
      <c r="C6" s="30">
        <v>1</v>
      </c>
      <c r="D6" s="28" t="s">
        <v>19</v>
      </c>
      <c r="E6" s="30">
        <v>1</v>
      </c>
      <c r="F6" s="29">
        <v>2</v>
      </c>
      <c r="G6" s="30">
        <v>1</v>
      </c>
      <c r="H6" s="29">
        <v>2</v>
      </c>
      <c r="I6" s="12">
        <v>3</v>
      </c>
      <c r="J6" s="205" t="s">
        <v>24</v>
      </c>
    </row>
    <row r="7" spans="1:10" ht="28" customHeight="1" x14ac:dyDescent="0.2">
      <c r="A7" s="213"/>
      <c r="B7" s="204" t="s">
        <v>25</v>
      </c>
      <c r="C7" s="28" t="s">
        <v>19</v>
      </c>
      <c r="D7" s="180">
        <v>3</v>
      </c>
      <c r="E7" s="28" t="s">
        <v>19</v>
      </c>
      <c r="F7" s="29">
        <v>2</v>
      </c>
      <c r="G7" s="30">
        <v>1</v>
      </c>
      <c r="H7" s="30">
        <v>1</v>
      </c>
      <c r="I7" s="28" t="s">
        <v>19</v>
      </c>
      <c r="J7" s="205" t="s">
        <v>26</v>
      </c>
    </row>
    <row r="8" spans="1:10" ht="28" customHeight="1" x14ac:dyDescent="0.2">
      <c r="A8" s="213"/>
      <c r="B8" s="204" t="s">
        <v>27</v>
      </c>
      <c r="C8" s="11">
        <v>4</v>
      </c>
      <c r="D8" s="28" t="s">
        <v>19</v>
      </c>
      <c r="E8" s="30">
        <v>1</v>
      </c>
      <c r="F8" s="28" t="s">
        <v>19</v>
      </c>
      <c r="G8" s="28" t="s">
        <v>19</v>
      </c>
      <c r="H8" s="30">
        <v>1</v>
      </c>
      <c r="I8" s="12">
        <v>3</v>
      </c>
      <c r="J8" s="205" t="s">
        <v>28</v>
      </c>
    </row>
    <row r="9" spans="1:10" ht="28" customHeight="1" x14ac:dyDescent="0.2">
      <c r="A9" s="213"/>
      <c r="B9" s="204" t="s">
        <v>29</v>
      </c>
      <c r="C9" s="11">
        <v>3</v>
      </c>
      <c r="D9" s="30">
        <v>1</v>
      </c>
      <c r="E9" s="28" t="s">
        <v>19</v>
      </c>
      <c r="F9" s="28" t="s">
        <v>19</v>
      </c>
      <c r="G9" s="28" t="s">
        <v>19</v>
      </c>
      <c r="H9" s="28" t="s">
        <v>19</v>
      </c>
      <c r="I9" s="12">
        <v>4</v>
      </c>
      <c r="J9" s="205" t="s">
        <v>30</v>
      </c>
    </row>
    <row r="10" spans="1:10" ht="28" customHeight="1" x14ac:dyDescent="0.2">
      <c r="A10" s="213"/>
      <c r="B10" s="204" t="s">
        <v>31</v>
      </c>
      <c r="C10" s="29">
        <v>2</v>
      </c>
      <c r="D10" s="28" t="s">
        <v>19</v>
      </c>
      <c r="E10" s="30">
        <v>1</v>
      </c>
      <c r="F10" s="30">
        <v>1</v>
      </c>
      <c r="G10" s="30">
        <v>1</v>
      </c>
      <c r="H10" s="6">
        <v>4</v>
      </c>
      <c r="I10" s="28" t="s">
        <v>19</v>
      </c>
      <c r="J10" s="205" t="s">
        <v>32</v>
      </c>
    </row>
    <row r="11" spans="1:10" ht="28" customHeight="1" x14ac:dyDescent="0.2">
      <c r="A11" s="213"/>
      <c r="B11" s="204" t="s">
        <v>33</v>
      </c>
      <c r="C11" s="30">
        <v>1</v>
      </c>
      <c r="D11" s="180">
        <v>4</v>
      </c>
      <c r="E11" s="30">
        <v>1</v>
      </c>
      <c r="F11" s="28" t="s">
        <v>19</v>
      </c>
      <c r="G11" s="28" t="s">
        <v>19</v>
      </c>
      <c r="H11" s="30">
        <v>1</v>
      </c>
      <c r="I11" s="29">
        <v>2</v>
      </c>
      <c r="J11" s="205" t="s">
        <v>34</v>
      </c>
    </row>
    <row r="12" spans="1:10" ht="28" customHeight="1" x14ac:dyDescent="0.2">
      <c r="A12" s="217">
        <v>2</v>
      </c>
      <c r="B12" s="195" t="s">
        <v>35</v>
      </c>
      <c r="C12" s="29">
        <v>2</v>
      </c>
      <c r="D12" s="28" t="s">
        <v>19</v>
      </c>
      <c r="E12" s="28" t="s">
        <v>19</v>
      </c>
      <c r="F12" s="30">
        <v>1</v>
      </c>
      <c r="G12" s="29">
        <v>2</v>
      </c>
      <c r="H12" s="6">
        <v>4</v>
      </c>
      <c r="I12" s="28" t="s">
        <v>19</v>
      </c>
      <c r="J12" s="196" t="s">
        <v>36</v>
      </c>
    </row>
    <row r="13" spans="1:10" ht="28" customHeight="1" x14ac:dyDescent="0.2">
      <c r="A13" s="213"/>
      <c r="B13" s="197" t="s">
        <v>37</v>
      </c>
      <c r="C13" s="28" t="s">
        <v>19</v>
      </c>
      <c r="D13" s="28" t="s">
        <v>19</v>
      </c>
      <c r="E13" s="10">
        <v>4</v>
      </c>
      <c r="F13" s="30">
        <v>1</v>
      </c>
      <c r="G13" s="29">
        <v>2</v>
      </c>
      <c r="H13" s="30">
        <v>1</v>
      </c>
      <c r="I13" s="29">
        <v>2</v>
      </c>
      <c r="J13" s="198" t="s">
        <v>38</v>
      </c>
    </row>
    <row r="14" spans="1:10" ht="28" customHeight="1" x14ac:dyDescent="0.2">
      <c r="A14" s="213"/>
      <c r="B14" s="197" t="s">
        <v>39</v>
      </c>
      <c r="C14" s="28" t="s">
        <v>19</v>
      </c>
      <c r="D14" s="28" t="s">
        <v>19</v>
      </c>
      <c r="E14" s="30">
        <v>1</v>
      </c>
      <c r="F14" s="7">
        <v>4</v>
      </c>
      <c r="G14" s="29">
        <v>2</v>
      </c>
      <c r="H14" s="30">
        <v>1</v>
      </c>
      <c r="I14" s="28" t="s">
        <v>19</v>
      </c>
      <c r="J14" s="198" t="s">
        <v>40</v>
      </c>
    </row>
    <row r="15" spans="1:10" ht="28" customHeight="1" x14ac:dyDescent="0.2">
      <c r="A15" s="213"/>
      <c r="B15" s="197" t="s">
        <v>41</v>
      </c>
      <c r="C15" s="11">
        <v>3</v>
      </c>
      <c r="D15" s="29">
        <v>2</v>
      </c>
      <c r="E15" s="28" t="s">
        <v>19</v>
      </c>
      <c r="F15" s="28" t="s">
        <v>19</v>
      </c>
      <c r="G15" s="28" t="s">
        <v>19</v>
      </c>
      <c r="H15" s="28" t="s">
        <v>19</v>
      </c>
      <c r="I15" s="12">
        <v>3</v>
      </c>
      <c r="J15" s="198" t="s">
        <v>42</v>
      </c>
    </row>
    <row r="16" spans="1:10" ht="28" customHeight="1" x14ac:dyDescent="0.2">
      <c r="A16" s="213"/>
      <c r="B16" s="197" t="s">
        <v>43</v>
      </c>
      <c r="C16" s="29">
        <v>2</v>
      </c>
      <c r="D16" s="28" t="s">
        <v>19</v>
      </c>
      <c r="E16" s="28" t="s">
        <v>19</v>
      </c>
      <c r="F16" s="30">
        <v>1</v>
      </c>
      <c r="G16" s="28" t="s">
        <v>19</v>
      </c>
      <c r="H16" s="30">
        <v>1</v>
      </c>
      <c r="I16" s="12">
        <v>4</v>
      </c>
      <c r="J16" s="198" t="s">
        <v>44</v>
      </c>
    </row>
    <row r="17" spans="1:10" ht="28" customHeight="1" x14ac:dyDescent="0.2">
      <c r="A17" s="213"/>
      <c r="B17" s="197" t="s">
        <v>45</v>
      </c>
      <c r="C17" s="30">
        <v>1</v>
      </c>
      <c r="D17" s="180">
        <v>3</v>
      </c>
      <c r="E17" s="28" t="s">
        <v>19</v>
      </c>
      <c r="F17" s="30">
        <v>1</v>
      </c>
      <c r="G17" s="28" t="s">
        <v>19</v>
      </c>
      <c r="H17" s="29">
        <v>2</v>
      </c>
      <c r="I17" s="30">
        <v>1</v>
      </c>
      <c r="J17" s="198" t="s">
        <v>46</v>
      </c>
    </row>
    <row r="18" spans="1:10" ht="28" customHeight="1" x14ac:dyDescent="0.2">
      <c r="A18" s="215">
        <v>3</v>
      </c>
      <c r="B18" s="27" t="s">
        <v>47</v>
      </c>
      <c r="C18" s="28" t="s">
        <v>19</v>
      </c>
      <c r="D18" s="28" t="s">
        <v>19</v>
      </c>
      <c r="E18" s="10">
        <v>4</v>
      </c>
      <c r="F18" s="30">
        <v>1</v>
      </c>
      <c r="G18" s="29">
        <v>2</v>
      </c>
      <c r="H18" s="28" t="s">
        <v>19</v>
      </c>
      <c r="I18" s="28" t="s">
        <v>19</v>
      </c>
      <c r="J18" s="206" t="s">
        <v>48</v>
      </c>
    </row>
    <row r="19" spans="1:10" ht="28" customHeight="1" x14ac:dyDescent="0.2">
      <c r="A19" s="213"/>
      <c r="B19" s="31" t="s">
        <v>49</v>
      </c>
      <c r="C19" s="29">
        <v>2</v>
      </c>
      <c r="D19" s="29">
        <v>2</v>
      </c>
      <c r="E19" s="28" t="s">
        <v>19</v>
      </c>
      <c r="F19" s="28" t="s">
        <v>19</v>
      </c>
      <c r="G19" s="28" t="s">
        <v>19</v>
      </c>
      <c r="H19" s="28" t="s">
        <v>19</v>
      </c>
      <c r="I19" s="12">
        <v>4</v>
      </c>
      <c r="J19" s="207" t="s">
        <v>50</v>
      </c>
    </row>
    <row r="20" spans="1:10" ht="28" customHeight="1" x14ac:dyDescent="0.2">
      <c r="A20" s="213"/>
      <c r="B20" s="94" t="s">
        <v>51</v>
      </c>
      <c r="C20" s="28" t="s">
        <v>19</v>
      </c>
      <c r="D20" s="180">
        <v>4</v>
      </c>
      <c r="E20" s="30">
        <v>1</v>
      </c>
      <c r="F20" s="29">
        <v>2</v>
      </c>
      <c r="G20" s="28" t="s">
        <v>19</v>
      </c>
      <c r="H20" s="30">
        <v>1</v>
      </c>
      <c r="I20" s="30">
        <v>1</v>
      </c>
      <c r="J20" s="208" t="s">
        <v>52</v>
      </c>
    </row>
    <row r="21" spans="1:10" ht="28" customHeight="1" x14ac:dyDescent="0.2">
      <c r="A21" s="213"/>
      <c r="B21" s="31" t="s">
        <v>53</v>
      </c>
      <c r="C21" s="11">
        <v>4</v>
      </c>
      <c r="D21" s="28" t="s">
        <v>19</v>
      </c>
      <c r="E21" s="30">
        <v>1</v>
      </c>
      <c r="F21" s="28" t="s">
        <v>19</v>
      </c>
      <c r="G21" s="28" t="s">
        <v>19</v>
      </c>
      <c r="H21" s="30">
        <v>1</v>
      </c>
      <c r="I21" s="12">
        <v>3</v>
      </c>
      <c r="J21" s="207" t="s">
        <v>54</v>
      </c>
    </row>
    <row r="22" spans="1:10" ht="28" customHeight="1" x14ac:dyDescent="0.2">
      <c r="A22" s="213"/>
      <c r="B22" s="94" t="s">
        <v>55</v>
      </c>
      <c r="C22" s="30">
        <v>1</v>
      </c>
      <c r="D22" s="28" t="s">
        <v>19</v>
      </c>
      <c r="E22" s="30">
        <v>1</v>
      </c>
      <c r="F22" s="7">
        <v>3</v>
      </c>
      <c r="G22" s="150">
        <v>3</v>
      </c>
      <c r="H22" s="6">
        <v>4</v>
      </c>
      <c r="I22" s="28" t="s">
        <v>19</v>
      </c>
      <c r="J22" s="208" t="s">
        <v>56</v>
      </c>
    </row>
    <row r="23" spans="1:10" ht="28" customHeight="1" x14ac:dyDescent="0.2">
      <c r="A23" s="217">
        <v>4</v>
      </c>
      <c r="B23" s="195" t="s">
        <v>57</v>
      </c>
      <c r="C23" s="28" t="s">
        <v>19</v>
      </c>
      <c r="D23" s="28" t="s">
        <v>19</v>
      </c>
      <c r="E23" s="29">
        <v>2</v>
      </c>
      <c r="F23" s="29">
        <v>2</v>
      </c>
      <c r="G23" s="150">
        <v>4</v>
      </c>
      <c r="H23" s="6">
        <v>3</v>
      </c>
      <c r="I23" s="28" t="s">
        <v>19</v>
      </c>
      <c r="J23" s="196" t="s">
        <v>58</v>
      </c>
    </row>
    <row r="24" spans="1:10" ht="28" customHeight="1" x14ac:dyDescent="0.2">
      <c r="A24" s="213"/>
      <c r="B24" s="197" t="s">
        <v>59</v>
      </c>
      <c r="C24" s="28" t="s">
        <v>19</v>
      </c>
      <c r="D24" s="28" t="s">
        <v>19</v>
      </c>
      <c r="E24" s="29">
        <v>2</v>
      </c>
      <c r="F24" s="29">
        <v>2</v>
      </c>
      <c r="G24" s="150">
        <v>3</v>
      </c>
      <c r="H24" s="29">
        <v>2</v>
      </c>
      <c r="I24" s="28" t="s">
        <v>19</v>
      </c>
      <c r="J24" s="198" t="s">
        <v>60</v>
      </c>
    </row>
    <row r="25" spans="1:10" ht="28" customHeight="1" x14ac:dyDescent="0.2">
      <c r="A25" s="213"/>
      <c r="B25" s="197" t="s">
        <v>61</v>
      </c>
      <c r="C25" s="28" t="s">
        <v>19</v>
      </c>
      <c r="D25" s="28" t="s">
        <v>19</v>
      </c>
      <c r="E25" s="30">
        <v>1</v>
      </c>
      <c r="F25" s="7">
        <v>3</v>
      </c>
      <c r="G25" s="30">
        <v>1</v>
      </c>
      <c r="H25" s="30">
        <v>1</v>
      </c>
      <c r="I25" s="30">
        <v>1</v>
      </c>
      <c r="J25" s="198" t="s">
        <v>62</v>
      </c>
    </row>
    <row r="26" spans="1:10" ht="28" customHeight="1" x14ac:dyDescent="0.2">
      <c r="A26" s="213"/>
      <c r="B26" s="197" t="s">
        <v>63</v>
      </c>
      <c r="C26" s="29">
        <v>2</v>
      </c>
      <c r="D26" s="30">
        <v>1</v>
      </c>
      <c r="E26" s="29">
        <v>2</v>
      </c>
      <c r="F26" s="28" t="s">
        <v>19</v>
      </c>
      <c r="G26" s="28" t="s">
        <v>19</v>
      </c>
      <c r="H26" s="30">
        <v>1</v>
      </c>
      <c r="I26" s="29">
        <v>2</v>
      </c>
      <c r="J26" s="198" t="s">
        <v>64</v>
      </c>
    </row>
    <row r="27" spans="1:10" ht="28" customHeight="1" x14ac:dyDescent="0.2">
      <c r="A27" s="213"/>
      <c r="B27" s="197" t="s">
        <v>65</v>
      </c>
      <c r="C27" s="29">
        <v>2</v>
      </c>
      <c r="D27" s="29">
        <v>2</v>
      </c>
      <c r="E27" s="30">
        <v>1</v>
      </c>
      <c r="F27" s="28" t="s">
        <v>19</v>
      </c>
      <c r="G27" s="28" t="s">
        <v>19</v>
      </c>
      <c r="H27" s="28" t="s">
        <v>19</v>
      </c>
      <c r="I27" s="12">
        <v>3</v>
      </c>
      <c r="J27" s="198" t="s">
        <v>66</v>
      </c>
    </row>
    <row r="28" spans="1:10" ht="28" customHeight="1" x14ac:dyDescent="0.2">
      <c r="A28" s="215">
        <v>5</v>
      </c>
      <c r="B28" s="27" t="s">
        <v>67</v>
      </c>
      <c r="C28" s="29">
        <v>2</v>
      </c>
      <c r="D28" s="28" t="s">
        <v>19</v>
      </c>
      <c r="E28" s="30">
        <v>1</v>
      </c>
      <c r="F28" s="28" t="s">
        <v>19</v>
      </c>
      <c r="G28" s="28" t="s">
        <v>19</v>
      </c>
      <c r="H28" s="28" t="s">
        <v>19</v>
      </c>
      <c r="I28" s="12">
        <v>4</v>
      </c>
      <c r="J28" s="206" t="s">
        <v>68</v>
      </c>
    </row>
    <row r="29" spans="1:10" ht="28" customHeight="1" x14ac:dyDescent="0.2">
      <c r="A29" s="213"/>
      <c r="B29" s="31" t="s">
        <v>69</v>
      </c>
      <c r="C29" s="28" t="s">
        <v>19</v>
      </c>
      <c r="D29" s="28" t="s">
        <v>19</v>
      </c>
      <c r="E29" s="28" t="s">
        <v>19</v>
      </c>
      <c r="F29" s="7">
        <v>4</v>
      </c>
      <c r="G29" s="29">
        <v>2</v>
      </c>
      <c r="H29" s="30">
        <v>1</v>
      </c>
      <c r="I29" s="30">
        <v>1</v>
      </c>
      <c r="J29" s="207" t="s">
        <v>70</v>
      </c>
    </row>
    <row r="30" spans="1:10" ht="28" customHeight="1" x14ac:dyDescent="0.2">
      <c r="A30" s="213"/>
      <c r="B30" s="94" t="s">
        <v>71</v>
      </c>
      <c r="C30" s="30">
        <v>1</v>
      </c>
      <c r="D30" s="180">
        <v>3</v>
      </c>
      <c r="E30" s="30">
        <v>1</v>
      </c>
      <c r="F30" s="29">
        <v>2</v>
      </c>
      <c r="G30" s="28" t="s">
        <v>19</v>
      </c>
      <c r="H30" s="30">
        <v>1</v>
      </c>
      <c r="I30" s="30">
        <v>1</v>
      </c>
      <c r="J30" s="208" t="s">
        <v>72</v>
      </c>
    </row>
    <row r="31" spans="1:10" ht="28" customHeight="1" x14ac:dyDescent="0.2">
      <c r="A31" s="213"/>
      <c r="B31" s="31" t="s">
        <v>73</v>
      </c>
      <c r="C31" s="30">
        <v>1</v>
      </c>
      <c r="D31" s="28" t="s">
        <v>19</v>
      </c>
      <c r="E31" s="30">
        <v>1</v>
      </c>
      <c r="F31" s="7">
        <v>3</v>
      </c>
      <c r="G31" s="150">
        <v>3</v>
      </c>
      <c r="H31" s="6">
        <v>4</v>
      </c>
      <c r="I31" s="30">
        <v>1</v>
      </c>
      <c r="J31" s="207" t="s">
        <v>74</v>
      </c>
    </row>
    <row r="32" spans="1:10" ht="28" customHeight="1" x14ac:dyDescent="0.2">
      <c r="A32" s="213"/>
      <c r="B32" s="94" t="s">
        <v>75</v>
      </c>
      <c r="C32" s="28" t="s">
        <v>19</v>
      </c>
      <c r="D32" s="28" t="s">
        <v>19</v>
      </c>
      <c r="E32" s="10">
        <v>3</v>
      </c>
      <c r="F32" s="29">
        <v>2</v>
      </c>
      <c r="G32" s="150">
        <v>4</v>
      </c>
      <c r="H32" s="30">
        <v>1</v>
      </c>
      <c r="I32" s="28" t="s">
        <v>19</v>
      </c>
      <c r="J32" s="208" t="s">
        <v>76</v>
      </c>
    </row>
    <row r="33" spans="1:10" ht="28" customHeight="1" x14ac:dyDescent="0.2">
      <c r="A33" s="213"/>
      <c r="B33" s="31" t="s">
        <v>77</v>
      </c>
      <c r="C33" s="29">
        <v>2</v>
      </c>
      <c r="D33" s="30">
        <v>1</v>
      </c>
      <c r="E33" s="28" t="s">
        <v>19</v>
      </c>
      <c r="F33" s="29">
        <v>2</v>
      </c>
      <c r="G33" s="29">
        <v>2</v>
      </c>
      <c r="H33" s="6">
        <v>4</v>
      </c>
      <c r="I33" s="28" t="s">
        <v>19</v>
      </c>
      <c r="J33" s="207" t="s">
        <v>78</v>
      </c>
    </row>
    <row r="34" spans="1:10" ht="28" customHeight="1" x14ac:dyDescent="0.2">
      <c r="A34" s="217">
        <v>6</v>
      </c>
      <c r="B34" s="27" t="s">
        <v>79</v>
      </c>
      <c r="C34" s="29">
        <v>2</v>
      </c>
      <c r="D34" s="28" t="s">
        <v>19</v>
      </c>
      <c r="E34" s="28" t="s">
        <v>19</v>
      </c>
      <c r="F34" s="28" t="s">
        <v>19</v>
      </c>
      <c r="G34" s="28" t="s">
        <v>19</v>
      </c>
      <c r="H34" s="28" t="s">
        <v>19</v>
      </c>
      <c r="I34" s="12">
        <v>4</v>
      </c>
      <c r="J34" s="206" t="s">
        <v>68</v>
      </c>
    </row>
    <row r="35" spans="1:10" ht="28" customHeight="1" x14ac:dyDescent="0.2">
      <c r="A35" s="213"/>
      <c r="B35" s="31" t="s">
        <v>80</v>
      </c>
      <c r="C35" s="30">
        <v>1</v>
      </c>
      <c r="D35" s="180">
        <v>3</v>
      </c>
      <c r="E35" s="30">
        <v>1</v>
      </c>
      <c r="F35" s="30">
        <v>1</v>
      </c>
      <c r="G35" s="28" t="s">
        <v>19</v>
      </c>
      <c r="H35" s="30">
        <v>1</v>
      </c>
      <c r="I35" s="30">
        <v>1</v>
      </c>
      <c r="J35" s="207" t="s">
        <v>81</v>
      </c>
    </row>
    <row r="36" spans="1:10" ht="28" customHeight="1" x14ac:dyDescent="0.2">
      <c r="A36" s="213"/>
      <c r="B36" s="94" t="s">
        <v>82</v>
      </c>
      <c r="C36" s="28" t="s">
        <v>19</v>
      </c>
      <c r="D36" s="28" t="s">
        <v>19</v>
      </c>
      <c r="E36" s="10">
        <v>3</v>
      </c>
      <c r="F36" s="30">
        <v>1</v>
      </c>
      <c r="G36" s="150">
        <v>3</v>
      </c>
      <c r="H36" s="30">
        <v>1</v>
      </c>
      <c r="I36" s="30">
        <v>1</v>
      </c>
      <c r="J36" s="208" t="s">
        <v>83</v>
      </c>
    </row>
    <row r="37" spans="1:10" ht="28" customHeight="1" x14ac:dyDescent="0.2">
      <c r="A37" s="213"/>
      <c r="B37" s="31" t="s">
        <v>84</v>
      </c>
      <c r="C37" s="28" t="s">
        <v>19</v>
      </c>
      <c r="D37" s="28" t="s">
        <v>19</v>
      </c>
      <c r="E37" s="28" t="s">
        <v>19</v>
      </c>
      <c r="F37" s="7">
        <v>4</v>
      </c>
      <c r="G37" s="150">
        <v>3</v>
      </c>
      <c r="H37" s="29">
        <v>2</v>
      </c>
      <c r="I37" s="30">
        <v>1</v>
      </c>
      <c r="J37" s="207" t="s">
        <v>85</v>
      </c>
    </row>
    <row r="38" spans="1:10" ht="28" customHeight="1" x14ac:dyDescent="0.2">
      <c r="A38" s="213"/>
      <c r="B38" s="94" t="s">
        <v>86</v>
      </c>
      <c r="C38" s="11">
        <v>4</v>
      </c>
      <c r="D38" s="30">
        <v>1</v>
      </c>
      <c r="E38" s="28" t="s">
        <v>19</v>
      </c>
      <c r="F38" s="28" t="s">
        <v>19</v>
      </c>
      <c r="G38" s="28" t="s">
        <v>19</v>
      </c>
      <c r="H38" s="6">
        <v>3</v>
      </c>
      <c r="I38" s="29">
        <v>2</v>
      </c>
      <c r="J38" s="208" t="s">
        <v>87</v>
      </c>
    </row>
    <row r="39" spans="1:10" ht="28" customHeight="1" x14ac:dyDescent="0.2">
      <c r="A39" s="213"/>
      <c r="B39" s="31" t="s">
        <v>88</v>
      </c>
      <c r="C39" s="11">
        <v>4</v>
      </c>
      <c r="D39" s="28" t="s">
        <v>19</v>
      </c>
      <c r="E39" s="28" t="s">
        <v>19</v>
      </c>
      <c r="F39" s="28" t="s">
        <v>19</v>
      </c>
      <c r="G39" s="28" t="s">
        <v>19</v>
      </c>
      <c r="H39" s="29">
        <v>2</v>
      </c>
      <c r="I39" s="12">
        <v>3</v>
      </c>
      <c r="J39" s="207" t="s">
        <v>89</v>
      </c>
    </row>
    <row r="40" spans="1:10" ht="28" customHeight="1" x14ac:dyDescent="0.2">
      <c r="A40" s="217">
        <v>8</v>
      </c>
      <c r="B40" s="195" t="s">
        <v>90</v>
      </c>
      <c r="C40" s="11">
        <v>3</v>
      </c>
      <c r="D40" s="30">
        <v>1</v>
      </c>
      <c r="E40" s="28" t="s">
        <v>19</v>
      </c>
      <c r="F40" s="28" t="s">
        <v>19</v>
      </c>
      <c r="G40" s="28" t="s">
        <v>19</v>
      </c>
      <c r="H40" s="29">
        <v>2</v>
      </c>
      <c r="I40" s="29">
        <v>2</v>
      </c>
      <c r="J40" s="196" t="s">
        <v>91</v>
      </c>
    </row>
    <row r="41" spans="1:10" ht="28" customHeight="1" x14ac:dyDescent="0.2">
      <c r="A41" s="213"/>
      <c r="B41" s="197" t="s">
        <v>92</v>
      </c>
      <c r="C41" s="28" t="s">
        <v>19</v>
      </c>
      <c r="D41" s="28" t="s">
        <v>19</v>
      </c>
      <c r="E41" s="30">
        <v>1</v>
      </c>
      <c r="F41" s="7">
        <v>3</v>
      </c>
      <c r="G41" s="29">
        <v>2</v>
      </c>
      <c r="H41" s="30">
        <v>1</v>
      </c>
      <c r="I41" s="28" t="s">
        <v>19</v>
      </c>
      <c r="J41" s="198" t="s">
        <v>40</v>
      </c>
    </row>
    <row r="42" spans="1:10" ht="28" customHeight="1" x14ac:dyDescent="0.2">
      <c r="A42" s="213"/>
      <c r="B42" s="197" t="s">
        <v>93</v>
      </c>
      <c r="C42" s="29">
        <v>2</v>
      </c>
      <c r="D42" s="28" t="s">
        <v>19</v>
      </c>
      <c r="E42" s="30">
        <v>1</v>
      </c>
      <c r="F42" s="28" t="s">
        <v>19</v>
      </c>
      <c r="G42" s="30">
        <v>1</v>
      </c>
      <c r="H42" s="6">
        <v>3</v>
      </c>
      <c r="I42" s="12">
        <v>3</v>
      </c>
      <c r="J42" s="198" t="s">
        <v>94</v>
      </c>
    </row>
    <row r="43" spans="1:10" ht="28" customHeight="1" x14ac:dyDescent="0.2">
      <c r="A43" s="213"/>
      <c r="B43" s="197" t="s">
        <v>95</v>
      </c>
      <c r="C43" s="29">
        <v>2</v>
      </c>
      <c r="D43" s="30">
        <v>1</v>
      </c>
      <c r="E43" s="30">
        <v>1</v>
      </c>
      <c r="F43" s="28" t="s">
        <v>19</v>
      </c>
      <c r="G43" s="28" t="s">
        <v>19</v>
      </c>
      <c r="H43" s="30">
        <v>1</v>
      </c>
      <c r="I43" s="12">
        <v>4</v>
      </c>
      <c r="J43" s="198" t="s">
        <v>96</v>
      </c>
    </row>
    <row r="44" spans="1:10" ht="28" customHeight="1" x14ac:dyDescent="0.2">
      <c r="A44" s="213"/>
      <c r="B44" s="197" t="s">
        <v>97</v>
      </c>
      <c r="C44" s="28" t="s">
        <v>19</v>
      </c>
      <c r="D44" s="28" t="s">
        <v>19</v>
      </c>
      <c r="E44" s="29">
        <v>2</v>
      </c>
      <c r="F44" s="7">
        <v>4</v>
      </c>
      <c r="G44" s="150">
        <v>3</v>
      </c>
      <c r="H44" s="28" t="s">
        <v>19</v>
      </c>
      <c r="I44" s="28" t="s">
        <v>19</v>
      </c>
      <c r="J44" s="198" t="s">
        <v>98</v>
      </c>
    </row>
    <row r="45" spans="1:10" ht="28" customHeight="1" x14ac:dyDescent="0.2">
      <c r="A45" s="213"/>
      <c r="B45" s="197" t="s">
        <v>99</v>
      </c>
      <c r="C45" s="30">
        <v>1</v>
      </c>
      <c r="D45" s="180">
        <v>3</v>
      </c>
      <c r="E45" s="29">
        <v>2</v>
      </c>
      <c r="F45" s="30">
        <v>1</v>
      </c>
      <c r="G45" s="28" t="s">
        <v>19</v>
      </c>
      <c r="H45" s="28" t="s">
        <v>19</v>
      </c>
      <c r="I45" s="30">
        <v>1</v>
      </c>
      <c r="J45" s="198" t="s">
        <v>100</v>
      </c>
    </row>
    <row r="46" spans="1:10" ht="28" customHeight="1" x14ac:dyDescent="0.2">
      <c r="A46" s="215">
        <v>9</v>
      </c>
      <c r="B46" s="27" t="s">
        <v>101</v>
      </c>
      <c r="C46" s="11">
        <v>3</v>
      </c>
      <c r="D46" s="180">
        <v>4</v>
      </c>
      <c r="E46" s="28" t="s">
        <v>19</v>
      </c>
      <c r="F46" s="28" t="s">
        <v>19</v>
      </c>
      <c r="G46" s="28" t="s">
        <v>19</v>
      </c>
      <c r="H46" s="28" t="s">
        <v>19</v>
      </c>
      <c r="I46" s="12">
        <v>4</v>
      </c>
      <c r="J46" s="206" t="s">
        <v>102</v>
      </c>
    </row>
    <row r="47" spans="1:10" ht="28" customHeight="1" x14ac:dyDescent="0.2">
      <c r="A47" s="213"/>
      <c r="B47" s="31" t="s">
        <v>103</v>
      </c>
      <c r="C47" s="28" t="s">
        <v>19</v>
      </c>
      <c r="D47" s="180">
        <v>4</v>
      </c>
      <c r="E47" s="30">
        <v>1</v>
      </c>
      <c r="F47" s="29">
        <v>2</v>
      </c>
      <c r="G47" s="28" t="s">
        <v>19</v>
      </c>
      <c r="H47" s="28" t="s">
        <v>19</v>
      </c>
      <c r="I47" s="30">
        <v>1</v>
      </c>
      <c r="J47" s="207" t="s">
        <v>104</v>
      </c>
    </row>
    <row r="48" spans="1:10" ht="28" customHeight="1" x14ac:dyDescent="0.2">
      <c r="A48" s="213"/>
      <c r="B48" s="94" t="s">
        <v>105</v>
      </c>
      <c r="C48" s="28" t="s">
        <v>19</v>
      </c>
      <c r="D48" s="28" t="s">
        <v>19</v>
      </c>
      <c r="E48" s="10">
        <v>4</v>
      </c>
      <c r="F48" s="28" t="s">
        <v>19</v>
      </c>
      <c r="G48" s="29">
        <v>2</v>
      </c>
      <c r="H48" s="28" t="s">
        <v>19</v>
      </c>
      <c r="I48" s="30">
        <v>1</v>
      </c>
      <c r="J48" s="208" t="s">
        <v>48</v>
      </c>
    </row>
    <row r="49" spans="1:10" ht="28" customHeight="1" x14ac:dyDescent="0.2">
      <c r="A49" s="213"/>
      <c r="B49" s="31" t="s">
        <v>106</v>
      </c>
      <c r="C49" s="28" t="s">
        <v>19</v>
      </c>
      <c r="D49" s="28" t="s">
        <v>19</v>
      </c>
      <c r="E49" s="28" t="s">
        <v>19</v>
      </c>
      <c r="F49" s="7">
        <v>4</v>
      </c>
      <c r="G49" s="150">
        <v>3</v>
      </c>
      <c r="H49" s="6">
        <v>3</v>
      </c>
      <c r="I49" s="28" t="s">
        <v>19</v>
      </c>
      <c r="J49" s="207" t="s">
        <v>107</v>
      </c>
    </row>
    <row r="50" spans="1:10" ht="28" customHeight="1" x14ac:dyDescent="0.2">
      <c r="A50" s="213"/>
      <c r="B50" s="94" t="s">
        <v>108</v>
      </c>
      <c r="C50" s="11">
        <v>4</v>
      </c>
      <c r="D50" s="28" t="s">
        <v>19</v>
      </c>
      <c r="E50" s="30">
        <v>1</v>
      </c>
      <c r="F50" s="28" t="s">
        <v>19</v>
      </c>
      <c r="G50" s="28" t="s">
        <v>19</v>
      </c>
      <c r="H50" s="30">
        <v>1</v>
      </c>
      <c r="I50" s="12">
        <v>3</v>
      </c>
      <c r="J50" s="208" t="s">
        <v>54</v>
      </c>
    </row>
    <row r="51" spans="1:10" ht="28" customHeight="1" x14ac:dyDescent="0.2">
      <c r="A51" s="213"/>
      <c r="B51" s="31" t="s">
        <v>109</v>
      </c>
      <c r="C51" s="28" t="s">
        <v>19</v>
      </c>
      <c r="D51" s="180">
        <v>3</v>
      </c>
      <c r="E51" s="30">
        <v>1</v>
      </c>
      <c r="F51" s="28" t="s">
        <v>19</v>
      </c>
      <c r="G51" s="28" t="s">
        <v>19</v>
      </c>
      <c r="H51" s="28" t="s">
        <v>19</v>
      </c>
      <c r="I51" s="29">
        <v>2</v>
      </c>
      <c r="J51" s="207" t="s">
        <v>110</v>
      </c>
    </row>
    <row r="52" spans="1:10" ht="28" customHeight="1" x14ac:dyDescent="0.2">
      <c r="A52" s="217">
        <v>10</v>
      </c>
      <c r="B52" s="195" t="s">
        <v>111</v>
      </c>
      <c r="C52" s="29">
        <v>2</v>
      </c>
      <c r="D52" s="180">
        <v>4</v>
      </c>
      <c r="E52" s="28" t="s">
        <v>19</v>
      </c>
      <c r="F52" s="28" t="s">
        <v>19</v>
      </c>
      <c r="G52" s="28" t="s">
        <v>19</v>
      </c>
      <c r="H52" s="28" t="s">
        <v>19</v>
      </c>
      <c r="I52" s="12">
        <v>3</v>
      </c>
      <c r="J52" s="196" t="s">
        <v>112</v>
      </c>
    </row>
    <row r="53" spans="1:10" ht="28" customHeight="1" x14ac:dyDescent="0.2">
      <c r="A53" s="213"/>
      <c r="B53" s="197" t="s">
        <v>113</v>
      </c>
      <c r="C53" s="30">
        <v>1</v>
      </c>
      <c r="D53" s="28" t="s">
        <v>19</v>
      </c>
      <c r="E53" s="30">
        <v>1</v>
      </c>
      <c r="F53" s="29">
        <v>2</v>
      </c>
      <c r="G53" s="28" t="s">
        <v>19</v>
      </c>
      <c r="H53" s="29">
        <v>2</v>
      </c>
      <c r="I53" s="12">
        <v>3</v>
      </c>
      <c r="J53" s="198" t="s">
        <v>114</v>
      </c>
    </row>
    <row r="54" spans="1:10" ht="28" customHeight="1" x14ac:dyDescent="0.2">
      <c r="A54" s="213"/>
      <c r="B54" s="197" t="s">
        <v>115</v>
      </c>
      <c r="C54" s="28" t="s">
        <v>19</v>
      </c>
      <c r="D54" s="28" t="s">
        <v>19</v>
      </c>
      <c r="E54" s="10">
        <v>4</v>
      </c>
      <c r="F54" s="28" t="s">
        <v>19</v>
      </c>
      <c r="G54" s="29">
        <v>2</v>
      </c>
      <c r="H54" s="28" t="s">
        <v>19</v>
      </c>
      <c r="I54" s="30">
        <v>1</v>
      </c>
      <c r="J54" s="198" t="s">
        <v>116</v>
      </c>
    </row>
    <row r="55" spans="1:10" ht="28" customHeight="1" x14ac:dyDescent="0.2">
      <c r="A55" s="213"/>
      <c r="B55" s="197" t="s">
        <v>117</v>
      </c>
      <c r="C55" s="11">
        <v>4</v>
      </c>
      <c r="D55" s="28" t="s">
        <v>19</v>
      </c>
      <c r="E55" s="30">
        <v>1</v>
      </c>
      <c r="F55" s="28" t="s">
        <v>19</v>
      </c>
      <c r="G55" s="28" t="s">
        <v>19</v>
      </c>
      <c r="H55" s="30">
        <v>1</v>
      </c>
      <c r="I55" s="12">
        <v>3</v>
      </c>
      <c r="J55" s="198" t="s">
        <v>54</v>
      </c>
    </row>
    <row r="56" spans="1:10" ht="28" customHeight="1" x14ac:dyDescent="0.2">
      <c r="A56" s="213"/>
      <c r="B56" s="197" t="s">
        <v>118</v>
      </c>
      <c r="C56" s="28" t="s">
        <v>19</v>
      </c>
      <c r="D56" s="180">
        <v>4</v>
      </c>
      <c r="E56" s="28" t="s">
        <v>19</v>
      </c>
      <c r="F56" s="30">
        <v>1</v>
      </c>
      <c r="G56" s="28" t="s">
        <v>19</v>
      </c>
      <c r="H56" s="28" t="s">
        <v>19</v>
      </c>
      <c r="I56" s="29">
        <v>2</v>
      </c>
      <c r="J56" s="198" t="s">
        <v>119</v>
      </c>
    </row>
    <row r="57" spans="1:10" ht="28" customHeight="1" x14ac:dyDescent="0.2">
      <c r="A57" s="213"/>
      <c r="B57" s="197" t="s">
        <v>120</v>
      </c>
      <c r="C57" s="30">
        <v>1</v>
      </c>
      <c r="D57" s="28" t="s">
        <v>19</v>
      </c>
      <c r="E57" s="28" t="s">
        <v>19</v>
      </c>
      <c r="F57" s="30">
        <v>1</v>
      </c>
      <c r="G57" s="29">
        <v>2</v>
      </c>
      <c r="H57" s="6">
        <v>4</v>
      </c>
      <c r="I57" s="30">
        <v>1</v>
      </c>
      <c r="J57" s="198" t="s">
        <v>121</v>
      </c>
    </row>
    <row r="58" spans="1:10" ht="28" customHeight="1" x14ac:dyDescent="0.2">
      <c r="A58" s="215">
        <v>11</v>
      </c>
      <c r="B58" s="27" t="s">
        <v>122</v>
      </c>
      <c r="C58" s="28" t="s">
        <v>19</v>
      </c>
      <c r="D58" s="180">
        <v>4</v>
      </c>
      <c r="E58" s="28" t="s">
        <v>19</v>
      </c>
      <c r="F58" s="7">
        <v>3</v>
      </c>
      <c r="G58" s="28" t="s">
        <v>19</v>
      </c>
      <c r="H58" s="30">
        <v>1</v>
      </c>
      <c r="I58" s="30">
        <v>1</v>
      </c>
      <c r="J58" s="206" t="s">
        <v>123</v>
      </c>
    </row>
    <row r="59" spans="1:10" ht="28" customHeight="1" x14ac:dyDescent="0.2">
      <c r="A59" s="213"/>
      <c r="B59" s="31" t="s">
        <v>124</v>
      </c>
      <c r="C59" s="29">
        <v>2</v>
      </c>
      <c r="D59" s="180">
        <v>3</v>
      </c>
      <c r="E59" s="30">
        <v>1</v>
      </c>
      <c r="F59" s="28" t="s">
        <v>19</v>
      </c>
      <c r="G59" s="28" t="s">
        <v>19</v>
      </c>
      <c r="H59" s="28" t="s">
        <v>19</v>
      </c>
      <c r="I59" s="12">
        <v>4</v>
      </c>
      <c r="J59" s="207" t="s">
        <v>125</v>
      </c>
    </row>
    <row r="60" spans="1:10" ht="28" customHeight="1" x14ac:dyDescent="0.2">
      <c r="A60" s="213"/>
      <c r="B60" s="94" t="s">
        <v>126</v>
      </c>
      <c r="C60" s="28" t="s">
        <v>19</v>
      </c>
      <c r="D60" s="28" t="s">
        <v>19</v>
      </c>
      <c r="E60" s="29">
        <v>2</v>
      </c>
      <c r="F60" s="7">
        <v>3</v>
      </c>
      <c r="G60" s="150">
        <v>4</v>
      </c>
      <c r="H60" s="6">
        <v>3</v>
      </c>
      <c r="I60" s="28" t="s">
        <v>19</v>
      </c>
      <c r="J60" s="208" t="s">
        <v>127</v>
      </c>
    </row>
    <row r="61" spans="1:10" ht="28" customHeight="1" x14ac:dyDescent="0.2">
      <c r="A61" s="213"/>
      <c r="B61" s="31" t="s">
        <v>128</v>
      </c>
      <c r="C61" s="29">
        <v>2</v>
      </c>
      <c r="D61" s="29">
        <v>2</v>
      </c>
      <c r="E61" s="10">
        <v>4</v>
      </c>
      <c r="F61" s="28" t="s">
        <v>19</v>
      </c>
      <c r="G61" s="28" t="s">
        <v>19</v>
      </c>
      <c r="H61" s="30">
        <v>1</v>
      </c>
      <c r="I61" s="29">
        <v>2</v>
      </c>
      <c r="J61" s="207" t="s">
        <v>129</v>
      </c>
    </row>
    <row r="62" spans="1:10" ht="28" customHeight="1" x14ac:dyDescent="0.2">
      <c r="A62" s="213"/>
      <c r="B62" s="94" t="s">
        <v>130</v>
      </c>
      <c r="C62" s="28" t="s">
        <v>19</v>
      </c>
      <c r="D62" s="28" t="s">
        <v>19</v>
      </c>
      <c r="E62" s="28" t="s">
        <v>19</v>
      </c>
      <c r="F62" s="7">
        <v>4</v>
      </c>
      <c r="G62" s="150">
        <v>3</v>
      </c>
      <c r="H62" s="30">
        <v>1</v>
      </c>
      <c r="I62" s="29">
        <v>2</v>
      </c>
      <c r="J62" s="208" t="s">
        <v>131</v>
      </c>
    </row>
    <row r="63" spans="1:10" ht="28" customHeight="1" x14ac:dyDescent="0.2">
      <c r="A63" s="213"/>
      <c r="B63" s="31" t="s">
        <v>132</v>
      </c>
      <c r="C63" s="29">
        <v>2</v>
      </c>
      <c r="D63" s="28" t="s">
        <v>19</v>
      </c>
      <c r="E63" s="28" t="s">
        <v>19</v>
      </c>
      <c r="F63" s="29">
        <v>2</v>
      </c>
      <c r="G63" s="150">
        <v>3</v>
      </c>
      <c r="H63" s="6">
        <v>4</v>
      </c>
      <c r="I63" s="28" t="s">
        <v>19</v>
      </c>
      <c r="J63" s="207" t="s">
        <v>133</v>
      </c>
    </row>
  </sheetData>
  <mergeCells count="12">
    <mergeCell ref="A52:A57"/>
    <mergeCell ref="A58:A63"/>
    <mergeCell ref="A46:A51"/>
    <mergeCell ref="A34:A39"/>
    <mergeCell ref="A28:A33"/>
    <mergeCell ref="A18:A22"/>
    <mergeCell ref="A1:J1"/>
    <mergeCell ref="A4:A11"/>
    <mergeCell ref="A12:A17"/>
    <mergeCell ref="A40:A45"/>
    <mergeCell ref="A2:J2"/>
    <mergeCell ref="A23:A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2"/>
  <sheetViews>
    <sheetView workbookViewId="0">
      <pane xSplit="4" ySplit="15" topLeftCell="E1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7" customWidth="1"/>
    <col min="2" max="2" width="26" customWidth="1"/>
    <col min="3" max="3" width="16" customWidth="1"/>
    <col min="4" max="4" width="30" customWidth="1"/>
    <col min="5" max="14" width="14" customWidth="1"/>
  </cols>
  <sheetData>
    <row r="1" spans="1:14" ht="24" customHeight="1" x14ac:dyDescent="0.2">
      <c r="A1" s="216" t="s">
        <v>134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</row>
    <row r="2" spans="1:14" ht="28" customHeight="1" x14ac:dyDescent="0.2">
      <c r="A2" s="218" t="s">
        <v>135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</row>
    <row r="3" spans="1:14" ht="16" customHeight="1" x14ac:dyDescent="0.2">
      <c r="A3" s="219" t="s">
        <v>136</v>
      </c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</row>
    <row r="4" spans="1:14" x14ac:dyDescent="0.2">
      <c r="A4" s="1" t="s">
        <v>137</v>
      </c>
      <c r="B4" s="1" t="s">
        <v>138</v>
      </c>
      <c r="C4" s="1" t="s">
        <v>139</v>
      </c>
      <c r="D4" s="1" t="s">
        <v>140</v>
      </c>
    </row>
    <row r="5" spans="1:14" ht="20" customHeight="1" x14ac:dyDescent="0.2">
      <c r="A5" s="41" t="s">
        <v>10</v>
      </c>
      <c r="B5" s="20" t="s">
        <v>141</v>
      </c>
      <c r="C5" s="20" t="s">
        <v>142</v>
      </c>
      <c r="D5" s="20" t="s">
        <v>143</v>
      </c>
    </row>
    <row r="6" spans="1:14" ht="20" customHeight="1" x14ac:dyDescent="0.2">
      <c r="A6" s="174" t="s">
        <v>11</v>
      </c>
      <c r="B6" s="175" t="s">
        <v>144</v>
      </c>
      <c r="C6" s="175" t="s">
        <v>145</v>
      </c>
      <c r="D6" s="175" t="s">
        <v>143</v>
      </c>
    </row>
    <row r="7" spans="1:14" ht="20" customHeight="1" x14ac:dyDescent="0.2">
      <c r="A7" s="43" t="s">
        <v>12</v>
      </c>
      <c r="B7" s="21" t="s">
        <v>146</v>
      </c>
      <c r="C7" s="21" t="s">
        <v>147</v>
      </c>
      <c r="D7" s="21" t="s">
        <v>143</v>
      </c>
    </row>
    <row r="8" spans="1:14" ht="20" customHeight="1" x14ac:dyDescent="0.2">
      <c r="A8" s="45" t="s">
        <v>13</v>
      </c>
      <c r="B8" s="22" t="s">
        <v>148</v>
      </c>
      <c r="C8" s="22" t="s">
        <v>149</v>
      </c>
      <c r="D8" s="22" t="s">
        <v>143</v>
      </c>
    </row>
    <row r="9" spans="1:14" ht="20" customHeight="1" x14ac:dyDescent="0.2">
      <c r="A9" s="135" t="s">
        <v>14</v>
      </c>
      <c r="B9" s="147" t="s">
        <v>150</v>
      </c>
      <c r="C9" s="147" t="s">
        <v>151</v>
      </c>
      <c r="D9" s="147" t="s">
        <v>143</v>
      </c>
    </row>
    <row r="10" spans="1:14" ht="20" customHeight="1" x14ac:dyDescent="0.2">
      <c r="A10" s="47" t="s">
        <v>15</v>
      </c>
      <c r="B10" s="23" t="s">
        <v>152</v>
      </c>
      <c r="C10" s="23" t="s">
        <v>153</v>
      </c>
      <c r="D10" s="23" t="s">
        <v>143</v>
      </c>
    </row>
    <row r="11" spans="1:14" ht="20" customHeight="1" x14ac:dyDescent="0.2">
      <c r="A11" s="49" t="s">
        <v>16</v>
      </c>
      <c r="B11" s="24" t="s">
        <v>154</v>
      </c>
      <c r="C11" s="24" t="s">
        <v>155</v>
      </c>
      <c r="D11" s="24" t="s">
        <v>143</v>
      </c>
    </row>
    <row r="13" spans="1:14" ht="16" customHeight="1" x14ac:dyDescent="0.2">
      <c r="A13" s="219" t="s">
        <v>156</v>
      </c>
      <c r="B13" s="213"/>
      <c r="C13" s="213"/>
      <c r="D13" s="213"/>
      <c r="E13" s="213"/>
      <c r="F13" s="213"/>
      <c r="G13" s="213"/>
      <c r="H13" s="213"/>
      <c r="I13" s="213"/>
      <c r="J13" s="213"/>
      <c r="K13" s="213"/>
      <c r="L13" s="213"/>
      <c r="M13" s="213"/>
      <c r="N13" s="213"/>
    </row>
    <row r="14" spans="1:14" ht="28" customHeight="1" x14ac:dyDescent="0.2">
      <c r="A14" s="1" t="s">
        <v>137</v>
      </c>
      <c r="B14" s="1" t="s">
        <v>138</v>
      </c>
      <c r="C14" s="1" t="s">
        <v>157</v>
      </c>
      <c r="D14" s="1" t="s">
        <v>158</v>
      </c>
      <c r="E14" s="102" t="s">
        <v>159</v>
      </c>
      <c r="F14" s="103" t="s">
        <v>160</v>
      </c>
      <c r="G14" s="104" t="s">
        <v>161</v>
      </c>
      <c r="H14" s="105" t="s">
        <v>162</v>
      </c>
      <c r="I14" s="106" t="s">
        <v>163</v>
      </c>
      <c r="J14" s="107" t="s">
        <v>164</v>
      </c>
      <c r="K14" s="108" t="s">
        <v>165</v>
      </c>
      <c r="L14" s="109" t="s">
        <v>166</v>
      </c>
      <c r="M14" s="110" t="s">
        <v>167</v>
      </c>
      <c r="N14" s="111" t="s">
        <v>168</v>
      </c>
    </row>
    <row r="15" spans="1:14" ht="40" customHeight="1" x14ac:dyDescent="0.2">
      <c r="A15" s="176" t="s">
        <v>169</v>
      </c>
      <c r="B15" s="177" t="s">
        <v>170</v>
      </c>
      <c r="C15" s="178"/>
      <c r="D15" s="178"/>
      <c r="E15" s="112" t="s">
        <v>171</v>
      </c>
      <c r="F15" s="113" t="s">
        <v>172</v>
      </c>
      <c r="G15" s="114" t="s">
        <v>173</v>
      </c>
      <c r="H15" s="115" t="s">
        <v>174</v>
      </c>
      <c r="I15" s="116" t="s">
        <v>175</v>
      </c>
      <c r="J15" s="117" t="s">
        <v>176</v>
      </c>
      <c r="K15" s="118" t="s">
        <v>177</v>
      </c>
      <c r="L15" s="119" t="s">
        <v>178</v>
      </c>
      <c r="M15" s="120" t="s">
        <v>179</v>
      </c>
      <c r="N15" s="121" t="s">
        <v>180</v>
      </c>
    </row>
    <row r="16" spans="1:14" ht="18" customHeight="1" x14ac:dyDescent="0.2">
      <c r="A16" s="11" t="s">
        <v>10</v>
      </c>
      <c r="B16" s="41" t="s">
        <v>141</v>
      </c>
      <c r="C16" s="122" t="s">
        <v>181</v>
      </c>
      <c r="D16" s="179" t="s">
        <v>182</v>
      </c>
      <c r="E16" s="35">
        <v>25</v>
      </c>
      <c r="F16" s="32">
        <v>30</v>
      </c>
      <c r="G16" s="34">
        <v>33</v>
      </c>
      <c r="H16" s="33">
        <v>12</v>
      </c>
      <c r="I16" s="33">
        <v>9</v>
      </c>
      <c r="J16" s="33">
        <v>14</v>
      </c>
      <c r="K16" s="33">
        <v>3</v>
      </c>
      <c r="L16" s="4">
        <v>29</v>
      </c>
      <c r="M16" s="33">
        <v>4</v>
      </c>
      <c r="N16" s="33">
        <v>4</v>
      </c>
    </row>
    <row r="17" spans="1:14" ht="18" customHeight="1" x14ac:dyDescent="0.2">
      <c r="A17" s="180" t="s">
        <v>11</v>
      </c>
      <c r="B17" s="174" t="s">
        <v>144</v>
      </c>
      <c r="C17" s="181" t="s">
        <v>181</v>
      </c>
      <c r="D17" s="182" t="s">
        <v>182</v>
      </c>
      <c r="E17" s="33">
        <v>16</v>
      </c>
      <c r="F17" s="32">
        <v>25</v>
      </c>
      <c r="G17" s="33">
        <v>6</v>
      </c>
      <c r="H17" s="33">
        <v>15</v>
      </c>
      <c r="I17" s="126">
        <v>33</v>
      </c>
      <c r="J17" s="33">
        <v>17</v>
      </c>
      <c r="K17" s="33">
        <v>4</v>
      </c>
      <c r="L17" s="33">
        <v>5</v>
      </c>
      <c r="M17" s="33">
        <v>1</v>
      </c>
      <c r="N17" s="33">
        <v>6</v>
      </c>
    </row>
    <row r="18" spans="1:14" ht="18" customHeight="1" x14ac:dyDescent="0.2">
      <c r="A18" s="10" t="s">
        <v>12</v>
      </c>
      <c r="B18" s="43" t="s">
        <v>146</v>
      </c>
      <c r="C18" s="123" t="s">
        <v>181</v>
      </c>
      <c r="D18" s="183" t="s">
        <v>182</v>
      </c>
      <c r="E18" s="33">
        <v>5</v>
      </c>
      <c r="F18" s="33">
        <v>11</v>
      </c>
      <c r="G18" s="33">
        <v>10</v>
      </c>
      <c r="H18" s="36">
        <v>39</v>
      </c>
      <c r="I18" s="33">
        <v>9</v>
      </c>
      <c r="J18" s="33">
        <v>7</v>
      </c>
      <c r="K18" s="33">
        <v>4</v>
      </c>
      <c r="L18" s="33">
        <v>6</v>
      </c>
      <c r="M18" s="33">
        <v>12</v>
      </c>
      <c r="N18" s="124">
        <v>36</v>
      </c>
    </row>
    <row r="19" spans="1:14" ht="18" customHeight="1" x14ac:dyDescent="0.2">
      <c r="A19" s="7" t="s">
        <v>13</v>
      </c>
      <c r="B19" s="45" t="s">
        <v>148</v>
      </c>
      <c r="C19" s="125" t="s">
        <v>181</v>
      </c>
      <c r="D19" s="184" t="s">
        <v>182</v>
      </c>
      <c r="E19" s="33">
        <v>1</v>
      </c>
      <c r="F19" s="33">
        <v>1</v>
      </c>
      <c r="G19" s="33">
        <v>1</v>
      </c>
      <c r="H19" s="33">
        <v>5</v>
      </c>
      <c r="I19" s="33">
        <v>16</v>
      </c>
      <c r="J19" s="33">
        <v>4</v>
      </c>
      <c r="K19" s="38">
        <v>36</v>
      </c>
      <c r="L19" s="33">
        <v>9</v>
      </c>
      <c r="M19" s="37">
        <v>30</v>
      </c>
      <c r="N19" s="33">
        <v>12</v>
      </c>
    </row>
    <row r="20" spans="1:14" ht="18" customHeight="1" x14ac:dyDescent="0.2">
      <c r="A20" s="150" t="s">
        <v>14</v>
      </c>
      <c r="B20" s="135" t="s">
        <v>150</v>
      </c>
      <c r="C20" s="185" t="s">
        <v>181</v>
      </c>
      <c r="D20" s="186" t="s">
        <v>182</v>
      </c>
      <c r="E20" s="33">
        <v>1</v>
      </c>
      <c r="F20" s="33">
        <v>3</v>
      </c>
      <c r="G20" s="33">
        <v>1</v>
      </c>
      <c r="H20" s="33">
        <v>16</v>
      </c>
      <c r="I20" s="33">
        <v>2</v>
      </c>
      <c r="J20" s="33">
        <v>1</v>
      </c>
      <c r="K20" s="38">
        <v>26</v>
      </c>
      <c r="L20" s="33">
        <v>12</v>
      </c>
      <c r="M20" s="37">
        <v>31</v>
      </c>
      <c r="N20" s="124">
        <v>27</v>
      </c>
    </row>
    <row r="21" spans="1:14" ht="18" customHeight="1" x14ac:dyDescent="0.2">
      <c r="A21" s="6" t="s">
        <v>15</v>
      </c>
      <c r="B21" s="47" t="s">
        <v>152</v>
      </c>
      <c r="C21" s="128" t="s">
        <v>181</v>
      </c>
      <c r="D21" s="187" t="s">
        <v>182</v>
      </c>
      <c r="E21" s="33">
        <v>3</v>
      </c>
      <c r="F21" s="33">
        <v>15</v>
      </c>
      <c r="G21" s="33">
        <v>8</v>
      </c>
      <c r="H21" s="33">
        <v>7</v>
      </c>
      <c r="I21" s="33">
        <v>7</v>
      </c>
      <c r="J21" s="33">
        <v>2</v>
      </c>
      <c r="K21" s="38">
        <v>20</v>
      </c>
      <c r="L21" s="4">
        <v>30</v>
      </c>
      <c r="M21" s="37">
        <v>27</v>
      </c>
      <c r="N21" s="33">
        <v>7</v>
      </c>
    </row>
    <row r="22" spans="1:14" ht="18" customHeight="1" x14ac:dyDescent="0.2">
      <c r="A22" s="12" t="s">
        <v>16</v>
      </c>
      <c r="B22" s="49" t="s">
        <v>154</v>
      </c>
      <c r="C22" s="129" t="s">
        <v>181</v>
      </c>
      <c r="D22" s="188" t="s">
        <v>182</v>
      </c>
      <c r="E22" s="35">
        <v>39</v>
      </c>
      <c r="F22" s="32">
        <v>28</v>
      </c>
      <c r="G22" s="34">
        <v>32</v>
      </c>
      <c r="H22" s="33">
        <v>10</v>
      </c>
      <c r="I22" s="33">
        <v>15</v>
      </c>
      <c r="J22" s="127">
        <v>34</v>
      </c>
      <c r="K22" s="33">
        <v>7</v>
      </c>
      <c r="L22" s="33">
        <v>14</v>
      </c>
      <c r="M22" s="33">
        <v>3</v>
      </c>
      <c r="N22" s="33">
        <v>5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69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6" customWidth="1"/>
    <col min="3" max="4" width="11" customWidth="1"/>
    <col min="5" max="5" width="12" customWidth="1"/>
    <col min="6" max="6" width="10" customWidth="1"/>
    <col min="7" max="7" width="16" customWidth="1"/>
    <col min="8" max="8" width="9" customWidth="1"/>
    <col min="9" max="9" width="22" customWidth="1"/>
    <col min="10" max="37" width="13" hidden="1" customWidth="1"/>
  </cols>
  <sheetData>
    <row r="1" spans="1:36" ht="24" customHeight="1" x14ac:dyDescent="0.2">
      <c r="A1" s="216" t="s">
        <v>183</v>
      </c>
      <c r="B1" s="213"/>
      <c r="C1" s="213"/>
      <c r="D1" s="213"/>
      <c r="E1" s="213"/>
      <c r="F1" s="213"/>
      <c r="G1" s="213"/>
      <c r="H1" s="213"/>
      <c r="I1" s="213"/>
    </row>
    <row r="2" spans="1:36" ht="16" customHeight="1" x14ac:dyDescent="0.2">
      <c r="A2" s="218" t="s">
        <v>184</v>
      </c>
      <c r="B2" s="213"/>
      <c r="C2" s="213"/>
      <c r="D2" s="213"/>
      <c r="E2" s="213"/>
      <c r="F2" s="213"/>
      <c r="G2" s="213"/>
      <c r="H2" s="213"/>
      <c r="I2" s="213"/>
    </row>
    <row r="3" spans="1:36" ht="22" customHeight="1" x14ac:dyDescent="0.2">
      <c r="A3" s="1" t="s">
        <v>8</v>
      </c>
      <c r="B3" s="1" t="s">
        <v>185</v>
      </c>
      <c r="C3" s="1" t="s">
        <v>186</v>
      </c>
      <c r="D3" s="1" t="s">
        <v>187</v>
      </c>
      <c r="E3" s="1" t="s">
        <v>188</v>
      </c>
      <c r="F3" s="1" t="s">
        <v>189</v>
      </c>
      <c r="G3" s="1" t="s">
        <v>190</v>
      </c>
      <c r="H3" s="5" t="s">
        <v>191</v>
      </c>
      <c r="I3" s="1" t="s">
        <v>157</v>
      </c>
    </row>
    <row r="4" spans="1:36" ht="32" customHeight="1" x14ac:dyDescent="0.2">
      <c r="A4" s="209">
        <v>1</v>
      </c>
      <c r="B4" s="210" t="s">
        <v>192</v>
      </c>
      <c r="C4" s="205" t="s">
        <v>193</v>
      </c>
      <c r="D4" s="205" t="s">
        <v>194</v>
      </c>
      <c r="E4" s="205" t="s">
        <v>195</v>
      </c>
      <c r="F4" s="205" t="s">
        <v>196</v>
      </c>
      <c r="G4" s="205" t="s">
        <v>197</v>
      </c>
      <c r="H4" s="65"/>
      <c r="I4" s="211" t="s">
        <v>198</v>
      </c>
      <c r="J4" s="98">
        <f>IFERROR(CHOOSE(MATCH(UPPER(G4),{"A","B","C","D","E","F","G","H"},0),0,0,1,0,4,3,2,1),0)</f>
        <v>0</v>
      </c>
      <c r="K4" s="98">
        <f>IFERROR(CHOOSE(MATCH(UPPER(G4),{"A","B","C","D","E","F","G","H"},0),0,1,0,3,0,1,0,4),0)</f>
        <v>0</v>
      </c>
      <c r="L4" s="98">
        <f>IFERROR(CHOOSE(MATCH(UPPER(G4),{"A","B","C","D","E","F","G","H"},0),3,4,1,0,1,0,1,1),0)</f>
        <v>0</v>
      </c>
      <c r="M4" s="98">
        <f>IFERROR(CHOOSE(MATCH(UPPER(G4),{"A","B","C","D","E","F","G","H"},0),1,1,2,2,0,0,1,0),0)</f>
        <v>0</v>
      </c>
      <c r="N4" s="98">
        <f>IFERROR(CHOOSE(MATCH(UPPER(G4),{"A","B","C","D","E","F","G","H"},0),3,4,1,1,0,0,1,0),0)</f>
        <v>0</v>
      </c>
      <c r="O4" s="98">
        <f>IFERROR(CHOOSE(MATCH(UPPER(G4),{"A","B","C","D","E","F","G","H"},0),0,0,2,1,1,0,4,1),0)</f>
        <v>0</v>
      </c>
      <c r="P4" s="98">
        <f>IFERROR(CHOOSE(MATCH(UPPER(G4),{"A","B","C","D","E","F","G","H"},0),1,0,3,0,3,4,0,2),0)</f>
        <v>0</v>
      </c>
    </row>
    <row r="5" spans="1:36" ht="32" customHeight="1" x14ac:dyDescent="0.2">
      <c r="A5" s="40">
        <v>2</v>
      </c>
      <c r="B5" s="27" t="s">
        <v>199</v>
      </c>
      <c r="C5" s="173" t="s">
        <v>200</v>
      </c>
      <c r="D5" s="173" t="s">
        <v>201</v>
      </c>
      <c r="E5" s="173" t="s">
        <v>202</v>
      </c>
      <c r="F5" s="173" t="s">
        <v>203</v>
      </c>
      <c r="G5" s="173" t="s">
        <v>204</v>
      </c>
      <c r="H5" s="65"/>
      <c r="I5" s="99" t="s">
        <v>205</v>
      </c>
      <c r="J5" s="98">
        <f>IFERROR(CHOOSE(MATCH(UPPER(G5),{"A","B","C","D","E","F"},0),2,0,0,3,2,1),0)</f>
        <v>0</v>
      </c>
      <c r="K5" s="98">
        <f>IFERROR(CHOOSE(MATCH(UPPER(G5),{"A","B","C","D","E","F"},0),0,0,0,2,0,3),0)</f>
        <v>0</v>
      </c>
      <c r="L5" s="98">
        <f>IFERROR(CHOOSE(MATCH(UPPER(G5),{"A","B","C","D","E","F"},0),0,4,1,0,0,0),0)</f>
        <v>0</v>
      </c>
      <c r="M5" s="98">
        <f>IFERROR(CHOOSE(MATCH(UPPER(G5),{"A","B","C","D","E","F"},0),1,1,4,0,1,1),0)</f>
        <v>0</v>
      </c>
      <c r="N5" s="98">
        <f>IFERROR(CHOOSE(MATCH(UPPER(G5),{"A","B","C","D","E","F"},0),2,2,2,0,0,0),0)</f>
        <v>0</v>
      </c>
      <c r="O5" s="98">
        <f>IFERROR(CHOOSE(MATCH(UPPER(G5),{"A","B","C","D","E","F"},0),4,1,1,0,1,2),0)</f>
        <v>0</v>
      </c>
      <c r="P5" s="98">
        <f>IFERROR(CHOOSE(MATCH(UPPER(G5),{"A","B","C","D","E","F"},0),0,2,0,3,4,1),0)</f>
        <v>0</v>
      </c>
    </row>
    <row r="6" spans="1:36" ht="32" customHeight="1" x14ac:dyDescent="0.2">
      <c r="A6" s="3">
        <v>3</v>
      </c>
      <c r="B6" s="39" t="s">
        <v>206</v>
      </c>
      <c r="C6" s="172" t="s">
        <v>207</v>
      </c>
      <c r="D6" s="172" t="s">
        <v>208</v>
      </c>
      <c r="E6" s="172" t="s">
        <v>209</v>
      </c>
      <c r="F6" s="172" t="s">
        <v>210</v>
      </c>
      <c r="G6" s="172" t="s">
        <v>211</v>
      </c>
      <c r="H6" s="65"/>
      <c r="I6" s="97" t="s">
        <v>205</v>
      </c>
      <c r="J6" s="98">
        <f>IFERROR(CHOOSE(MATCH(UPPER(G6),{"A","B","C","D","E"},0),0,2,0,4,1),0)</f>
        <v>0</v>
      </c>
      <c r="K6" s="98">
        <f>IFERROR(CHOOSE(MATCH(UPPER(G6),{"A","B","C","D","E"},0),0,2,4,0,0),0)</f>
        <v>0</v>
      </c>
      <c r="L6" s="98">
        <f>IFERROR(CHOOSE(MATCH(UPPER(G6),{"A","B","C","D","E"},0),4,0,1,1,1),0)</f>
        <v>0</v>
      </c>
      <c r="M6" s="98">
        <f>IFERROR(CHOOSE(MATCH(UPPER(G6),{"A","B","C","D","E"},0),1,0,2,0,3),0)</f>
        <v>0</v>
      </c>
      <c r="N6" s="98">
        <f>IFERROR(CHOOSE(MATCH(UPPER(G6),{"A","B","C","D","E"},0),2,0,0,0,3),0)</f>
        <v>0</v>
      </c>
      <c r="O6" s="98">
        <f>IFERROR(CHOOSE(MATCH(UPPER(G6),{"A","B","C","D","E"},0),0,0,1,1,4),0)</f>
        <v>0</v>
      </c>
      <c r="P6" s="98">
        <f>IFERROR(CHOOSE(MATCH(UPPER(G6),{"A","B","C","D","E"},0),0,4,1,3,0),0)</f>
        <v>0</v>
      </c>
    </row>
    <row r="7" spans="1:36" ht="32" customHeight="1" x14ac:dyDescent="0.2">
      <c r="A7" s="40">
        <v>4</v>
      </c>
      <c r="B7" s="27" t="s">
        <v>212</v>
      </c>
      <c r="C7" s="173" t="s">
        <v>213</v>
      </c>
      <c r="D7" s="173" t="s">
        <v>214</v>
      </c>
      <c r="E7" s="173" t="s">
        <v>215</v>
      </c>
      <c r="F7" s="173" t="s">
        <v>216</v>
      </c>
      <c r="G7" s="173" t="s">
        <v>217</v>
      </c>
      <c r="H7" s="65"/>
      <c r="I7" s="99" t="s">
        <v>205</v>
      </c>
      <c r="J7" s="98">
        <f>IFERROR(CHOOSE(MATCH(UPPER(G7),{"A","B","C","D","E"},0),0,0,0,2,2),0)</f>
        <v>0</v>
      </c>
      <c r="K7" s="98">
        <f>IFERROR(CHOOSE(MATCH(UPPER(G7),{"A","B","C","D","E"},0),0,0,0,1,2),0)</f>
        <v>0</v>
      </c>
      <c r="L7" s="98">
        <f>IFERROR(CHOOSE(MATCH(UPPER(G7),{"A","B","C","D","E"},0),2,2,1,2,1),0)</f>
        <v>0</v>
      </c>
      <c r="M7" s="98">
        <f>IFERROR(CHOOSE(MATCH(UPPER(G7),{"A","B","C","D","E"},0),2,2,3,0,0),0)</f>
        <v>0</v>
      </c>
      <c r="N7" s="98">
        <f>IFERROR(CHOOSE(MATCH(UPPER(G7),{"A","B","C","D","E"},0),4,3,1,0,0),0)</f>
        <v>0</v>
      </c>
      <c r="O7" s="98">
        <f>IFERROR(CHOOSE(MATCH(UPPER(G7),{"A","B","C","D","E"},0),3,2,1,1,0),0)</f>
        <v>0</v>
      </c>
      <c r="P7" s="98">
        <f>IFERROR(CHOOSE(MATCH(UPPER(G7),{"A","B","C","D","E"},0),0,0,1,2,3),0)</f>
        <v>0</v>
      </c>
    </row>
    <row r="8" spans="1:36" ht="32" customHeight="1" x14ac:dyDescent="0.2">
      <c r="A8" s="3">
        <v>5</v>
      </c>
      <c r="B8" s="39" t="s">
        <v>218</v>
      </c>
      <c r="C8" s="172" t="s">
        <v>219</v>
      </c>
      <c r="D8" s="172" t="s">
        <v>220</v>
      </c>
      <c r="E8" s="172" t="s">
        <v>221</v>
      </c>
      <c r="F8" s="172" t="s">
        <v>222</v>
      </c>
      <c r="G8" s="172" t="s">
        <v>223</v>
      </c>
      <c r="H8" s="65"/>
      <c r="I8" s="97" t="s">
        <v>205</v>
      </c>
      <c r="J8" s="98">
        <f>IFERROR(CHOOSE(MATCH(UPPER(G8),{"A","B","C","D","E","F"},0),2,0,1,1,0,2),0)</f>
        <v>0</v>
      </c>
      <c r="K8" s="98">
        <f>IFERROR(CHOOSE(MATCH(UPPER(G8),{"A","B","C","D","E","F"},0),0,0,3,0,0,1),0)</f>
        <v>0</v>
      </c>
      <c r="L8" s="98">
        <f>IFERROR(CHOOSE(MATCH(UPPER(G8),{"A","B","C","D","E","F"},0),1,0,1,1,3,0),0)</f>
        <v>0</v>
      </c>
      <c r="M8" s="98">
        <f>IFERROR(CHOOSE(MATCH(UPPER(G8),{"A","B","C","D","E","F"},0),0,4,2,3,2,2),0)</f>
        <v>0</v>
      </c>
      <c r="N8" s="98">
        <f>IFERROR(CHOOSE(MATCH(UPPER(G8),{"A","B","C","D","E","F"},0),0,2,0,3,4,2),0)</f>
        <v>0</v>
      </c>
      <c r="O8" s="98">
        <f>IFERROR(CHOOSE(MATCH(UPPER(G8),{"A","B","C","D","E","F"},0),0,1,1,4,1,4),0)</f>
        <v>0</v>
      </c>
      <c r="P8" s="98">
        <f>IFERROR(CHOOSE(MATCH(UPPER(G8),{"A","B","C","D","E","F"},0),4,1,1,1,0,0),0)</f>
        <v>0</v>
      </c>
    </row>
    <row r="9" spans="1:36" ht="32" customHeight="1" x14ac:dyDescent="0.2">
      <c r="A9" s="40">
        <v>6</v>
      </c>
      <c r="B9" s="27" t="s">
        <v>224</v>
      </c>
      <c r="C9" s="173" t="s">
        <v>225</v>
      </c>
      <c r="D9" s="173" t="s">
        <v>226</v>
      </c>
      <c r="E9" s="173" t="s">
        <v>227</v>
      </c>
      <c r="F9" s="173" t="s">
        <v>228</v>
      </c>
      <c r="G9" s="173" t="s">
        <v>229</v>
      </c>
      <c r="H9" s="65"/>
      <c r="I9" s="99" t="s">
        <v>205</v>
      </c>
      <c r="J9" s="98">
        <f>IFERROR(CHOOSE(MATCH(UPPER(G9),{"A","B","C","D","E","F"},0),2,1,0,0,4,4),0)</f>
        <v>0</v>
      </c>
      <c r="K9" s="98">
        <f>IFERROR(CHOOSE(MATCH(UPPER(G9),{"A","B","C","D","E","F"},0),0,3,0,0,1,0),0)</f>
        <v>0</v>
      </c>
      <c r="L9" s="98">
        <f>IFERROR(CHOOSE(MATCH(UPPER(G9),{"A","B","C","D","E","F"},0),0,1,3,0,0,0),0)</f>
        <v>0</v>
      </c>
      <c r="M9" s="98">
        <f>IFERROR(CHOOSE(MATCH(UPPER(G9),{"A","B","C","D","E","F"},0),0,1,1,4,0,0),0)</f>
        <v>0</v>
      </c>
      <c r="N9" s="98">
        <f>IFERROR(CHOOSE(MATCH(UPPER(G9),{"A","B","C","D","E","F"},0),0,0,3,3,0,0),0)</f>
        <v>0</v>
      </c>
      <c r="O9" s="98">
        <f>IFERROR(CHOOSE(MATCH(UPPER(G9),{"A","B","C","D","E","F"},0),0,1,1,2,3,2),0)</f>
        <v>0</v>
      </c>
      <c r="P9" s="98">
        <f>IFERROR(CHOOSE(MATCH(UPPER(G9),{"A","B","C","D","E","F"},0),4,1,1,1,2,3),0)</f>
        <v>0</v>
      </c>
    </row>
    <row r="10" spans="1:36" ht="32" customHeight="1" x14ac:dyDescent="0.2">
      <c r="A10" s="7">
        <v>7</v>
      </c>
      <c r="B10" s="45" t="s">
        <v>230</v>
      </c>
      <c r="C10" s="113" t="s">
        <v>231</v>
      </c>
      <c r="D10" s="113" t="s">
        <v>232</v>
      </c>
      <c r="E10" s="113" t="s">
        <v>233</v>
      </c>
      <c r="F10" s="113" t="s">
        <v>234</v>
      </c>
      <c r="G10" s="113" t="s">
        <v>235</v>
      </c>
      <c r="H10" s="65"/>
      <c r="I10" s="100" t="s">
        <v>236</v>
      </c>
      <c r="Q10" s="98">
        <f>IFERROR(CHOOSE(MATCH(UPPER(G10),{"A","B","C","D","E","F"},0),2,0,0,1,2,0),0)</f>
        <v>0</v>
      </c>
      <c r="R10" s="98">
        <f>IFERROR(CHOOSE(MATCH(UPPER(G10),{"A","B","C","D","E","F"},0),0,0,5,0,0,1),0)</f>
        <v>0</v>
      </c>
      <c r="S10" s="98">
        <f>IFERROR(CHOOSE(MATCH(UPPER(G10),{"A","B","C","D","E","F"},0),0,0,0,0,0,6),0)</f>
        <v>0</v>
      </c>
      <c r="T10" s="98">
        <f>IFERROR(CHOOSE(MATCH(UPPER(G10),{"A","B","C","D","E","F"},0),0,0,2,0,0,0),0)</f>
        <v>0</v>
      </c>
      <c r="U10" s="98">
        <f>IFERROR(CHOOSE(MATCH(UPPER(G10),{"A","B","C","D","E","F"},0),1,0,0,6,2,0),0)</f>
        <v>0</v>
      </c>
      <c r="V10" s="98">
        <f>IFERROR(CHOOSE(MATCH(UPPER(G10),{"A","B","C","D","E","F"},0),0,0,0,2,5,0),0)</f>
        <v>0</v>
      </c>
      <c r="W10" s="98">
        <f>IFERROR(CHOOSE(MATCH(UPPER(G10),{"A","B","C","D","E","F"},0),5,0,0,0,0,0),0)</f>
        <v>0</v>
      </c>
      <c r="X10" s="98">
        <f>IFERROR(CHOOSE(MATCH(UPPER(G10),{"A","B","C","D","E","F"},0),0,2,0,0,0,1),0)</f>
        <v>0</v>
      </c>
      <c r="Y10" s="98">
        <f>IFERROR(CHOOSE(MATCH(UPPER(G10),{"A","B","C","D","E","F"},0),0,5,0,0,0,0),0)</f>
        <v>0</v>
      </c>
      <c r="Z10" s="98">
        <f>IFERROR(CHOOSE(MATCH(UPPER(G10),{"A","B","C","D","E","F"},0),0,1,0,0,0,0),0)</f>
        <v>0</v>
      </c>
    </row>
    <row r="11" spans="1:36" ht="32" customHeight="1" x14ac:dyDescent="0.2">
      <c r="A11" s="40">
        <v>8</v>
      </c>
      <c r="B11" s="27" t="s">
        <v>237</v>
      </c>
      <c r="C11" s="173" t="s">
        <v>238</v>
      </c>
      <c r="D11" s="173" t="s">
        <v>239</v>
      </c>
      <c r="E11" s="173" t="s">
        <v>240</v>
      </c>
      <c r="F11" s="173" t="s">
        <v>241</v>
      </c>
      <c r="G11" s="173" t="s">
        <v>242</v>
      </c>
      <c r="H11" s="65"/>
      <c r="I11" s="99" t="s">
        <v>205</v>
      </c>
      <c r="J11" s="98">
        <f>IFERROR(CHOOSE(MATCH(UPPER(G11),{"A","B","C","D","E","F"},0),3,0,2,2,0,1),0)</f>
        <v>0</v>
      </c>
      <c r="K11" s="98">
        <f>IFERROR(CHOOSE(MATCH(UPPER(G11),{"A","B","C","D","E","F"},0),1,0,0,1,0,3),0)</f>
        <v>0</v>
      </c>
      <c r="L11" s="98">
        <f>IFERROR(CHOOSE(MATCH(UPPER(G11),{"A","B","C","D","E","F"},0),0,1,1,1,2,2),0)</f>
        <v>0</v>
      </c>
      <c r="M11" s="98">
        <f>IFERROR(CHOOSE(MATCH(UPPER(G11),{"A","B","C","D","E","F"},0),0,3,0,0,4,1),0)</f>
        <v>0</v>
      </c>
      <c r="N11" s="98">
        <f>IFERROR(CHOOSE(MATCH(UPPER(G11),{"A","B","C","D","E","F"},0),0,2,1,0,3,0),0)</f>
        <v>0</v>
      </c>
      <c r="O11" s="98">
        <f>IFERROR(CHOOSE(MATCH(UPPER(G11),{"A","B","C","D","E","F"},0),2,1,3,1,0,0),0)</f>
        <v>0</v>
      </c>
      <c r="P11" s="98">
        <f>IFERROR(CHOOSE(MATCH(UPPER(G11),{"A","B","C","D","E","F"},0),2,0,3,4,0,1),0)</f>
        <v>0</v>
      </c>
    </row>
    <row r="12" spans="1:36" ht="32" customHeight="1" x14ac:dyDescent="0.2">
      <c r="A12" s="3">
        <v>9</v>
      </c>
      <c r="B12" s="39" t="s">
        <v>243</v>
      </c>
      <c r="C12" s="172" t="s">
        <v>244</v>
      </c>
      <c r="D12" s="172" t="s">
        <v>245</v>
      </c>
      <c r="E12" s="172" t="s">
        <v>246</v>
      </c>
      <c r="F12" s="172" t="s">
        <v>247</v>
      </c>
      <c r="G12" s="172" t="s">
        <v>248</v>
      </c>
      <c r="H12" s="65"/>
      <c r="I12" s="97" t="s">
        <v>205</v>
      </c>
      <c r="J12" s="98">
        <f>IFERROR(CHOOSE(MATCH(UPPER(G12),{"A","B","C","D","E","F"},0),3,0,0,0,4,0),0)</f>
        <v>0</v>
      </c>
      <c r="K12" s="98">
        <f>IFERROR(CHOOSE(MATCH(UPPER(G12),{"A","B","C","D","E","F"},0),4,4,0,0,0,3),0)</f>
        <v>0</v>
      </c>
      <c r="L12" s="98">
        <f>IFERROR(CHOOSE(MATCH(UPPER(G12),{"A","B","C","D","E","F"},0),0,1,4,0,1,1),0)</f>
        <v>0</v>
      </c>
      <c r="M12" s="98">
        <f>IFERROR(CHOOSE(MATCH(UPPER(G12),{"A","B","C","D","E","F"},0),0,2,0,4,0,0),0)</f>
        <v>0</v>
      </c>
      <c r="N12" s="98">
        <f>IFERROR(CHOOSE(MATCH(UPPER(G12),{"A","B","C","D","E","F"},0),0,0,2,3,0,0),0)</f>
        <v>0</v>
      </c>
      <c r="O12" s="98">
        <f>IFERROR(CHOOSE(MATCH(UPPER(G12),{"A","B","C","D","E","F"},0),0,0,0,3,1,0),0)</f>
        <v>0</v>
      </c>
      <c r="P12" s="98">
        <f>IFERROR(CHOOSE(MATCH(UPPER(G12),{"A","B","C","D","E","F"},0),4,1,1,0,3,2),0)</f>
        <v>0</v>
      </c>
    </row>
    <row r="13" spans="1:36" ht="32" customHeight="1" x14ac:dyDescent="0.2">
      <c r="A13" s="40">
        <v>10</v>
      </c>
      <c r="B13" s="27" t="s">
        <v>249</v>
      </c>
      <c r="C13" s="173" t="s">
        <v>250</v>
      </c>
      <c r="D13" s="173" t="s">
        <v>251</v>
      </c>
      <c r="E13" s="173" t="s">
        <v>252</v>
      </c>
      <c r="F13" s="173" t="s">
        <v>253</v>
      </c>
      <c r="G13" s="173" t="s">
        <v>254</v>
      </c>
      <c r="H13" s="65"/>
      <c r="I13" s="99" t="s">
        <v>205</v>
      </c>
      <c r="J13" s="98">
        <f>IFERROR(CHOOSE(MATCH(UPPER(G13),{"A","B","C","D","E","F"},0),2,1,0,4,0,1),0)</f>
        <v>0</v>
      </c>
      <c r="K13" s="98">
        <f>IFERROR(CHOOSE(MATCH(UPPER(G13),{"A","B","C","D","E","F"},0),4,0,0,0,4,0),0)</f>
        <v>0</v>
      </c>
      <c r="L13" s="98">
        <f>IFERROR(CHOOSE(MATCH(UPPER(G13),{"A","B","C","D","E","F"},0),0,1,4,1,0,0),0)</f>
        <v>0</v>
      </c>
      <c r="M13" s="98">
        <f>IFERROR(CHOOSE(MATCH(UPPER(G13),{"A","B","C","D","E","F"},0),0,2,0,0,1,1),0)</f>
        <v>0</v>
      </c>
      <c r="N13" s="98">
        <f>IFERROR(CHOOSE(MATCH(UPPER(G13),{"A","B","C","D","E","F"},0),0,0,2,0,0,2),0)</f>
        <v>0</v>
      </c>
      <c r="O13" s="98">
        <f>IFERROR(CHOOSE(MATCH(UPPER(G13),{"A","B","C","D","E","F"},0),0,2,0,1,0,4),0)</f>
        <v>0</v>
      </c>
      <c r="P13" s="98">
        <f>IFERROR(CHOOSE(MATCH(UPPER(G13),{"A","B","C","D","E","F"},0),3,3,1,3,2,1),0)</f>
        <v>0</v>
      </c>
    </row>
    <row r="14" spans="1:36" ht="32" customHeight="1" x14ac:dyDescent="0.2">
      <c r="A14" s="3">
        <v>11</v>
      </c>
      <c r="B14" s="39" t="s">
        <v>255</v>
      </c>
      <c r="C14" s="172" t="s">
        <v>256</v>
      </c>
      <c r="D14" s="172" t="s">
        <v>257</v>
      </c>
      <c r="E14" s="172" t="s">
        <v>258</v>
      </c>
      <c r="F14" s="172" t="s">
        <v>259</v>
      </c>
      <c r="G14" s="172" t="s">
        <v>260</v>
      </c>
      <c r="H14" s="65"/>
      <c r="I14" s="97" t="s">
        <v>205</v>
      </c>
      <c r="J14" s="98">
        <f>IFERROR(CHOOSE(MATCH(UPPER(G14),{"A","B","C","D","E","F"},0),0,2,0,2,0,2),0)</f>
        <v>0</v>
      </c>
      <c r="K14" s="98">
        <f>IFERROR(CHOOSE(MATCH(UPPER(G14),{"A","B","C","D","E","F"},0),4,3,0,2,0,0),0)</f>
        <v>0</v>
      </c>
      <c r="L14" s="98">
        <f>IFERROR(CHOOSE(MATCH(UPPER(G14),{"A","B","C","D","E","F"},0),0,1,2,4,0,0),0)</f>
        <v>0</v>
      </c>
      <c r="M14" s="98">
        <f>IFERROR(CHOOSE(MATCH(UPPER(G14),{"A","B","C","D","E","F"},0),3,0,3,0,4,2),0)</f>
        <v>0</v>
      </c>
      <c r="N14" s="98">
        <f>IFERROR(CHOOSE(MATCH(UPPER(G14),{"A","B","C","D","E","F"},0),0,0,4,0,3,3),0)</f>
        <v>0</v>
      </c>
      <c r="O14" s="98">
        <f>IFERROR(CHOOSE(MATCH(UPPER(G14),{"A","B","C","D","E","F"},0),1,0,3,1,1,4),0)</f>
        <v>0</v>
      </c>
      <c r="P14" s="98">
        <f>IFERROR(CHOOSE(MATCH(UPPER(G14),{"A","B","C","D","E","F"},0),1,4,0,2,2,0),0)</f>
        <v>0</v>
      </c>
    </row>
    <row r="15" spans="1:36" ht="32" customHeight="1" x14ac:dyDescent="0.2">
      <c r="A15" s="8">
        <v>12</v>
      </c>
      <c r="B15" s="52" t="s">
        <v>261</v>
      </c>
      <c r="C15" s="120" t="s">
        <v>262</v>
      </c>
      <c r="D15" s="120" t="s">
        <v>263</v>
      </c>
      <c r="E15" s="120" t="s">
        <v>264</v>
      </c>
      <c r="F15" s="120" t="s">
        <v>265</v>
      </c>
      <c r="G15" s="120" t="s">
        <v>266</v>
      </c>
      <c r="H15" s="65"/>
      <c r="I15" s="101" t="s">
        <v>236</v>
      </c>
      <c r="AA15" s="98">
        <f>IFERROR(CHOOSE(MATCH(UPPER(G15),{"A","B","C","D","E","F"},0),5,0,0,1,2,0),0)</f>
        <v>0</v>
      </c>
      <c r="AB15" s="98">
        <f>IFERROR(CHOOSE(MATCH(UPPER(G15),{"A","B","C","D","E","F"},0),2,2,0,0,0,1),0)</f>
        <v>0</v>
      </c>
      <c r="AC15" s="98">
        <f>IFERROR(CHOOSE(MATCH(UPPER(G15),{"A","B","C","D","E","F"},0),2,5,0,0,0,0),0)</f>
        <v>0</v>
      </c>
      <c r="AD15" s="98">
        <f>IFERROR(CHOOSE(MATCH(UPPER(G15),{"A","B","C","D","E","F"},0),0,0,4,0,0,0),0)</f>
        <v>0</v>
      </c>
      <c r="AE15" s="98">
        <f>IFERROR(CHOOSE(MATCH(UPPER(G15),{"A","B","C","D","E","F"},0),0,0,0,5,0,0),0)</f>
        <v>0</v>
      </c>
      <c r="AF15" s="98">
        <f>IFERROR(CHOOSE(MATCH(UPPER(G15),{"A","B","C","D","E","F"},0),0,0,0,4,0,0),0)</f>
        <v>0</v>
      </c>
      <c r="AG15" s="98">
        <f>IFERROR(CHOOSE(MATCH(UPPER(G15),{"A","B","C","D","E","F"},0),0,0,0,0,5,0),0)</f>
        <v>0</v>
      </c>
      <c r="AH15" s="98">
        <f>IFERROR(CHOOSE(MATCH(UPPER(G15),{"A","B","C","D","E","F"},0),0,2,1,0,0,5),0)</f>
        <v>0</v>
      </c>
      <c r="AI15" s="98">
        <f>IFERROR(CHOOSE(MATCH(UPPER(G15),{"A","B","C","D","E","F"},0),0,0,0,0,1,2),0)</f>
        <v>0</v>
      </c>
      <c r="AJ15" s="98">
        <f>IFERROR(CHOOSE(MATCH(UPPER(G15),{"A","B","C","D","E","F"},0),0,0,4,0,0,0),0)</f>
        <v>0</v>
      </c>
    </row>
    <row r="18" spans="1:9" ht="18" customHeight="1" x14ac:dyDescent="0.2">
      <c r="A18" s="219" t="s">
        <v>267</v>
      </c>
      <c r="B18" s="213"/>
      <c r="C18" s="213"/>
      <c r="D18" s="213"/>
      <c r="E18" s="213"/>
      <c r="F18" s="213"/>
      <c r="G18" s="213"/>
      <c r="H18" s="213"/>
      <c r="I18" s="213"/>
    </row>
    <row r="19" spans="1:9" ht="20" customHeight="1" x14ac:dyDescent="0.2">
      <c r="A19" s="1" t="s">
        <v>137</v>
      </c>
      <c r="B19" s="1" t="s">
        <v>138</v>
      </c>
      <c r="C19" s="1" t="s">
        <v>268</v>
      </c>
      <c r="D19" s="1" t="s">
        <v>269</v>
      </c>
      <c r="E19" s="1" t="s">
        <v>270</v>
      </c>
      <c r="F19" s="1" t="s">
        <v>271</v>
      </c>
    </row>
    <row r="20" spans="1:9" ht="18" customHeight="1" x14ac:dyDescent="0.2">
      <c r="A20" s="11" t="s">
        <v>10</v>
      </c>
      <c r="B20" s="41" t="s">
        <v>272</v>
      </c>
      <c r="C20" s="34">
        <f>J4+J5+J6+J7+J8+J9+J11+J12+J13+J14</f>
        <v>0</v>
      </c>
      <c r="D20" s="66">
        <v>32</v>
      </c>
      <c r="E20" s="42">
        <f t="shared" ref="E20:E26" si="0">IFERROR(C20/D20,0)</f>
        <v>0</v>
      </c>
      <c r="F20" s="67" t="str">
        <f t="shared" ref="F20:F26" si="1">REPT("|",ROUND(E20*30,0))</f>
        <v/>
      </c>
    </row>
    <row r="21" spans="1:9" ht="18" customHeight="1" x14ac:dyDescent="0.2">
      <c r="A21" s="180" t="s">
        <v>11</v>
      </c>
      <c r="B21" s="174" t="s">
        <v>273</v>
      </c>
      <c r="C21" s="126">
        <f>K4+K5+K6+K7+K8+K9+K11+K12+K13+K14</f>
        <v>0</v>
      </c>
      <c r="D21" s="189">
        <v>34</v>
      </c>
      <c r="E21" s="190">
        <f t="shared" si="0"/>
        <v>0</v>
      </c>
      <c r="F21" s="191" t="str">
        <f t="shared" si="1"/>
        <v/>
      </c>
    </row>
    <row r="22" spans="1:9" ht="18" customHeight="1" x14ac:dyDescent="0.2">
      <c r="A22" s="10" t="s">
        <v>12</v>
      </c>
      <c r="B22" s="43" t="s">
        <v>274</v>
      </c>
      <c r="C22" s="36">
        <f>L4+L5+L6+L7+L8+L9+L11+L12+L13+L14</f>
        <v>0</v>
      </c>
      <c r="D22" s="68">
        <v>34</v>
      </c>
      <c r="E22" s="44">
        <f t="shared" si="0"/>
        <v>0</v>
      </c>
      <c r="F22" s="69" t="str">
        <f t="shared" si="1"/>
        <v/>
      </c>
    </row>
    <row r="23" spans="1:9" ht="18" customHeight="1" x14ac:dyDescent="0.2">
      <c r="A23" s="7" t="s">
        <v>13</v>
      </c>
      <c r="B23" s="45" t="s">
        <v>275</v>
      </c>
      <c r="C23" s="32">
        <f>M4+M5+M6+M7+M8+M9+M11+M12+M13+M14</f>
        <v>0</v>
      </c>
      <c r="D23" s="70">
        <v>34</v>
      </c>
      <c r="E23" s="46">
        <f t="shared" si="0"/>
        <v>0</v>
      </c>
      <c r="F23" s="71" t="str">
        <f t="shared" si="1"/>
        <v/>
      </c>
    </row>
    <row r="24" spans="1:9" ht="18" customHeight="1" x14ac:dyDescent="0.2">
      <c r="A24" s="150" t="s">
        <v>14</v>
      </c>
      <c r="B24" s="135" t="s">
        <v>276</v>
      </c>
      <c r="C24" s="124">
        <f>N4+N5+N6+N7+N8+N9+N11+N12+N13+N14</f>
        <v>0</v>
      </c>
      <c r="D24" s="192">
        <v>32</v>
      </c>
      <c r="E24" s="193">
        <f t="shared" si="0"/>
        <v>0</v>
      </c>
      <c r="F24" s="194" t="str">
        <f t="shared" si="1"/>
        <v/>
      </c>
    </row>
    <row r="25" spans="1:9" ht="18" customHeight="1" x14ac:dyDescent="0.2">
      <c r="A25" s="6" t="s">
        <v>15</v>
      </c>
      <c r="B25" s="47" t="s">
        <v>277</v>
      </c>
      <c r="C25" s="4">
        <f>O4+O5+O6+O7+O8+O9+O11+O12+O13+O14</f>
        <v>0</v>
      </c>
      <c r="D25" s="72">
        <v>36</v>
      </c>
      <c r="E25" s="48">
        <f t="shared" si="0"/>
        <v>0</v>
      </c>
      <c r="F25" s="73" t="str">
        <f t="shared" si="1"/>
        <v/>
      </c>
    </row>
    <row r="26" spans="1:9" ht="18" customHeight="1" x14ac:dyDescent="0.2">
      <c r="A26" s="12" t="s">
        <v>16</v>
      </c>
      <c r="B26" s="49" t="s">
        <v>278</v>
      </c>
      <c r="C26" s="35">
        <f>P4+P5+P6+P7+P8+P9+P11+P12+P13+P14</f>
        <v>0</v>
      </c>
      <c r="D26" s="74">
        <v>38</v>
      </c>
      <c r="E26" s="50">
        <f t="shared" si="0"/>
        <v>0</v>
      </c>
      <c r="F26" s="75" t="str">
        <f t="shared" si="1"/>
        <v/>
      </c>
    </row>
    <row r="28" spans="1:9" ht="18" customHeight="1" x14ac:dyDescent="0.2">
      <c r="A28" s="219" t="s">
        <v>279</v>
      </c>
      <c r="B28" s="213"/>
      <c r="C28" s="213"/>
      <c r="D28" s="213"/>
      <c r="E28" s="213"/>
      <c r="F28" s="213"/>
      <c r="G28" s="213"/>
      <c r="H28" s="213"/>
      <c r="I28" s="213"/>
    </row>
    <row r="29" spans="1:9" ht="22" customHeight="1" x14ac:dyDescent="0.2">
      <c r="A29" s="1" t="s">
        <v>280</v>
      </c>
      <c r="B29" s="1" t="s">
        <v>281</v>
      </c>
      <c r="C29" s="1" t="s">
        <v>282</v>
      </c>
      <c r="D29" s="1" t="s">
        <v>283</v>
      </c>
    </row>
    <row r="30" spans="1:9" ht="18" customHeight="1" x14ac:dyDescent="0.2">
      <c r="A30" s="49" t="s">
        <v>159</v>
      </c>
      <c r="B30" s="35">
        <f>Q10</f>
        <v>0</v>
      </c>
      <c r="C30" s="35">
        <f>AA15</f>
        <v>0</v>
      </c>
      <c r="D30" s="35">
        <f t="shared" ref="D30:D39" si="2">B30+C30</f>
        <v>0</v>
      </c>
    </row>
    <row r="31" spans="1:9" ht="18" customHeight="1" x14ac:dyDescent="0.2">
      <c r="A31" s="45" t="s">
        <v>160</v>
      </c>
      <c r="B31" s="32">
        <f>R10</f>
        <v>0</v>
      </c>
      <c r="C31" s="32">
        <f>AB15</f>
        <v>0</v>
      </c>
      <c r="D31" s="32">
        <f t="shared" si="2"/>
        <v>0</v>
      </c>
    </row>
    <row r="32" spans="1:9" ht="18" customHeight="1" x14ac:dyDescent="0.2">
      <c r="A32" s="41" t="s">
        <v>161</v>
      </c>
      <c r="B32" s="34">
        <f>S10</f>
        <v>0</v>
      </c>
      <c r="C32" s="34">
        <f>AC15</f>
        <v>0</v>
      </c>
      <c r="D32" s="34">
        <f t="shared" si="2"/>
        <v>0</v>
      </c>
    </row>
    <row r="33" spans="1:9" ht="18" customHeight="1" x14ac:dyDescent="0.2">
      <c r="A33" s="43" t="s">
        <v>162</v>
      </c>
      <c r="B33" s="36">
        <f>T10</f>
        <v>0</v>
      </c>
      <c r="C33" s="36">
        <f>AD15</f>
        <v>0</v>
      </c>
      <c r="D33" s="36">
        <f t="shared" si="2"/>
        <v>0</v>
      </c>
    </row>
    <row r="34" spans="1:9" ht="18" customHeight="1" x14ac:dyDescent="0.2">
      <c r="A34" s="133" t="s">
        <v>163</v>
      </c>
      <c r="B34" s="126">
        <f>U10</f>
        <v>0</v>
      </c>
      <c r="C34" s="126">
        <f>AE15</f>
        <v>0</v>
      </c>
      <c r="D34" s="126">
        <f t="shared" si="2"/>
        <v>0</v>
      </c>
    </row>
    <row r="35" spans="1:9" ht="18" customHeight="1" x14ac:dyDescent="0.2">
      <c r="A35" s="134" t="s">
        <v>164</v>
      </c>
      <c r="B35" s="127">
        <f>V10</f>
        <v>0</v>
      </c>
      <c r="C35" s="127">
        <f>AF15</f>
        <v>0</v>
      </c>
      <c r="D35" s="127">
        <f t="shared" si="2"/>
        <v>0</v>
      </c>
    </row>
    <row r="36" spans="1:9" ht="18" customHeight="1" x14ac:dyDescent="0.2">
      <c r="A36" s="51" t="s">
        <v>165</v>
      </c>
      <c r="B36" s="38">
        <f>W10</f>
        <v>0</v>
      </c>
      <c r="C36" s="38">
        <f>AG15</f>
        <v>0</v>
      </c>
      <c r="D36" s="38">
        <f t="shared" si="2"/>
        <v>0</v>
      </c>
    </row>
    <row r="37" spans="1:9" ht="18" customHeight="1" x14ac:dyDescent="0.2">
      <c r="A37" s="47" t="s">
        <v>166</v>
      </c>
      <c r="B37" s="4">
        <f>X10</f>
        <v>0</v>
      </c>
      <c r="C37" s="4">
        <f>AH15</f>
        <v>0</v>
      </c>
      <c r="D37" s="4">
        <f t="shared" si="2"/>
        <v>0</v>
      </c>
    </row>
    <row r="38" spans="1:9" ht="18" customHeight="1" x14ac:dyDescent="0.2">
      <c r="A38" s="52" t="s">
        <v>167</v>
      </c>
      <c r="B38" s="37">
        <f>Y10</f>
        <v>0</v>
      </c>
      <c r="C38" s="37">
        <f>AI15</f>
        <v>0</v>
      </c>
      <c r="D38" s="37">
        <f t="shared" si="2"/>
        <v>0</v>
      </c>
    </row>
    <row r="39" spans="1:9" ht="18" customHeight="1" x14ac:dyDescent="0.2">
      <c r="A39" s="135" t="s">
        <v>168</v>
      </c>
      <c r="B39" s="124">
        <f>Z10</f>
        <v>0</v>
      </c>
      <c r="C39" s="124">
        <f>AJ15</f>
        <v>0</v>
      </c>
      <c r="D39" s="124">
        <f t="shared" si="2"/>
        <v>0</v>
      </c>
    </row>
    <row r="42" spans="1:9" ht="18" customHeight="1" x14ac:dyDescent="0.2">
      <c r="A42" s="219" t="s">
        <v>284</v>
      </c>
      <c r="B42" s="213"/>
      <c r="C42" s="213"/>
      <c r="D42" s="213"/>
      <c r="E42" s="213"/>
      <c r="F42" s="213"/>
      <c r="G42" s="213"/>
      <c r="H42" s="213"/>
      <c r="I42" s="213"/>
    </row>
    <row r="43" spans="1:9" ht="16" customHeight="1" x14ac:dyDescent="0.2">
      <c r="A43" s="218" t="s">
        <v>285</v>
      </c>
      <c r="B43" s="213"/>
      <c r="C43" s="213"/>
      <c r="D43" s="213"/>
      <c r="E43" s="213"/>
      <c r="F43" s="213"/>
      <c r="G43" s="213"/>
      <c r="H43" s="213"/>
      <c r="I43" s="213"/>
    </row>
    <row r="44" spans="1:9" ht="28" customHeight="1" x14ac:dyDescent="0.2">
      <c r="A44" s="1" t="s">
        <v>280</v>
      </c>
      <c r="B44" s="1" t="s">
        <v>286</v>
      </c>
      <c r="C44" s="1" t="s">
        <v>287</v>
      </c>
      <c r="D44" s="1" t="s">
        <v>288</v>
      </c>
      <c r="E44" s="1" t="s">
        <v>289</v>
      </c>
      <c r="F44" s="1" t="s">
        <v>290</v>
      </c>
      <c r="G44" s="1" t="s">
        <v>291</v>
      </c>
    </row>
    <row r="45" spans="1:9" ht="20" customHeight="1" x14ac:dyDescent="0.2">
      <c r="A45" s="19" t="s">
        <v>159</v>
      </c>
      <c r="B45" s="24" t="s">
        <v>292</v>
      </c>
      <c r="C45" s="59">
        <f>SQRT((C20-25)^2+(C21-16)^2+(C22-5)^2+(C23-1)^2+(C24-1)^2+(C25-3)^2+(C26-39)^2)</f>
        <v>49.376107582514038</v>
      </c>
      <c r="D45" s="35">
        <f t="shared" ref="D45:D54" si="3">D30</f>
        <v>0</v>
      </c>
      <c r="E45" s="59">
        <f t="shared" ref="E45:E54" si="4">C45-(D45*0.3)</f>
        <v>49.376107582514038</v>
      </c>
      <c r="F45" s="82" t="str">
        <f>IF(E45=MIN(E45:E54),SMALL(E45:E54,2)-MIN(E45:E54),"")</f>
        <v/>
      </c>
      <c r="G45" s="12" t="str">
        <f>IF(E45&lt;&gt;MIN(E45:E54),"",IF(SMALL(E45:E54,2)-MIN(E45:E54)&gt;=3,"Strong",IF(SMALL(E45:E54,2)-MIN(E45:E54)&gt;=1.5,"Moderate","Narrow")))</f>
        <v/>
      </c>
    </row>
    <row r="46" spans="1:9" ht="20" customHeight="1" x14ac:dyDescent="0.2">
      <c r="A46" s="14" t="s">
        <v>160</v>
      </c>
      <c r="B46" s="22" t="s">
        <v>293</v>
      </c>
      <c r="C46" s="54">
        <f>SQRT((C20-30)^2+(C21-25)^2+(C22-11)^2+(C23-1)^2+(C24-3)^2+(C25-15)^2+(C26-28)^2)</f>
        <v>51.623637996561229</v>
      </c>
      <c r="D46" s="32">
        <f t="shared" si="3"/>
        <v>0</v>
      </c>
      <c r="E46" s="54">
        <f t="shared" si="4"/>
        <v>51.623637996561229</v>
      </c>
      <c r="F46" s="77" t="str">
        <f>IF(E46=MIN(E45:E54),SMALL(E45:E54,2)-MIN(E45:E54),"")</f>
        <v/>
      </c>
      <c r="G46" s="7" t="str">
        <f>IF(E46&lt;&gt;MIN(E45:E54),"",IF(SMALL(E45:E54,2)-MIN(E45:E54)&gt;=3,"Strong",IF(SMALL(E45:E54,2)-MIN(E45:E54)&gt;=1.5,"Moderate","Narrow")))</f>
        <v/>
      </c>
    </row>
    <row r="47" spans="1:9" ht="20" customHeight="1" x14ac:dyDescent="0.2">
      <c r="A47" s="18" t="s">
        <v>161</v>
      </c>
      <c r="B47" s="20" t="s">
        <v>294</v>
      </c>
      <c r="C47" s="58">
        <f>SQRT((C20-33)^2+(C21-6)^2+(C22-10)^2+(C23-1)^2+(C24-1)^2+(C25-8)^2+(C26-32)^2)</f>
        <v>48.114446894877631</v>
      </c>
      <c r="D47" s="34">
        <f t="shared" si="3"/>
        <v>0</v>
      </c>
      <c r="E47" s="58">
        <f t="shared" si="4"/>
        <v>48.114446894877631</v>
      </c>
      <c r="F47" s="81" t="str">
        <f>IF(E47=MIN(E45:E54),SMALL(E45:E54,2)-MIN(E45:E54),"")</f>
        <v/>
      </c>
      <c r="G47" s="11" t="str">
        <f>IF(E47&lt;&gt;MIN(E45:E54),"",IF(SMALL(E45:E54,2)-MIN(E45:E54)&gt;=3,"Strong",IF(SMALL(E45:E54,2)-MIN(E45:E54)&gt;=1.5,"Moderate","Narrow")))</f>
        <v/>
      </c>
    </row>
    <row r="48" spans="1:9" ht="20" customHeight="1" x14ac:dyDescent="0.2">
      <c r="A48" s="17" t="s">
        <v>162</v>
      </c>
      <c r="B48" s="21" t="s">
        <v>295</v>
      </c>
      <c r="C48" s="57">
        <f>SQRT((C20-12)^2+(C21-15)^2+(C22-39)^2+(C23-5)^2+(C24-16)^2+(C25-7)^2+(C26-10)^2)</f>
        <v>48.166378315169183</v>
      </c>
      <c r="D48" s="36">
        <f t="shared" si="3"/>
        <v>0</v>
      </c>
      <c r="E48" s="57">
        <f t="shared" si="4"/>
        <v>48.166378315169183</v>
      </c>
      <c r="F48" s="80" t="str">
        <f>IF(E48=MIN(E45:E54),SMALL(E45:E54,2)-MIN(E45:E54),"")</f>
        <v/>
      </c>
      <c r="G48" s="10" t="str">
        <f>IF(E48&lt;&gt;MIN(E45:E54),"",IF(SMALL(E45:E54,2)-MIN(E45:E54)&gt;=3,"Strong",IF(SMALL(E45:E54,2)-MIN(E45:E54)&gt;=1.5,"Moderate","Narrow")))</f>
        <v/>
      </c>
    </row>
    <row r="49" spans="1:7" ht="20" customHeight="1" x14ac:dyDescent="0.2">
      <c r="A49" s="136" t="s">
        <v>163</v>
      </c>
      <c r="B49" s="137" t="s">
        <v>296</v>
      </c>
      <c r="C49" s="138">
        <f>SQRT((C20-9)^2+(C21-33)^2+(C22-9)^2+(C23-16)^2+(C24-2)^2+(C25-7)^2+(C26-15)^2)</f>
        <v>42.249260348555218</v>
      </c>
      <c r="D49" s="126">
        <f t="shared" si="3"/>
        <v>0</v>
      </c>
      <c r="E49" s="138">
        <f t="shared" si="4"/>
        <v>42.249260348555218</v>
      </c>
      <c r="F49" s="139" t="str">
        <f>IF(E49=MIN(E45:E54),SMALL(E45:E54,2)-MIN(E45:E54),"")</f>
        <v/>
      </c>
      <c r="G49" s="140" t="str">
        <f>IF(E49&lt;&gt;MIN(E45:E54),"",IF(SMALL(E45:E54,2)-MIN(E45:E54)&gt;=3,"Strong",IF(SMALL(E45:E54,2)-MIN(E45:E54)&gt;=1.5,"Moderate","Narrow")))</f>
        <v/>
      </c>
    </row>
    <row r="50" spans="1:7" ht="20" customHeight="1" x14ac:dyDescent="0.2">
      <c r="A50" s="141" t="s">
        <v>164</v>
      </c>
      <c r="B50" s="142" t="s">
        <v>297</v>
      </c>
      <c r="C50" s="143">
        <f>SQRT((C20-14)^2+(C21-17)^2+(C22-7)^2+(C23-4)^2+(C24-1)^2+(C25-2)^2+(C26-34)^2)</f>
        <v>41.364235759892871</v>
      </c>
      <c r="D50" s="127">
        <f t="shared" si="3"/>
        <v>0</v>
      </c>
      <c r="E50" s="143">
        <f t="shared" si="4"/>
        <v>41.364235759892871</v>
      </c>
      <c r="F50" s="144">
        <f>IF(E50=MIN(E45:E54),SMALL(E45:E54,2)-MIN(E45:E54),"")</f>
        <v>0.8850245886623469</v>
      </c>
      <c r="G50" s="145" t="str">
        <f>IF(E50&lt;&gt;MIN(E45:E54),"",IF(SMALL(E45:E54,2)-MIN(E45:E54)&gt;=3,"Strong",IF(SMALL(E45:E54,2)-MIN(E45:E54)&gt;=1.5,"Moderate","Narrow")))</f>
        <v>Narrow</v>
      </c>
    </row>
    <row r="51" spans="1:7" ht="20" customHeight="1" x14ac:dyDescent="0.2">
      <c r="A51" s="16" t="s">
        <v>165</v>
      </c>
      <c r="B51" s="25" t="s">
        <v>298</v>
      </c>
      <c r="C51" s="56">
        <f>SQRT((C20-3)^2+(C21-4)^2+(C22-4)^2+(C23-36)^2+(C24-26)^2+(C25-20)^2+(C26-7)^2)</f>
        <v>49.618544920221112</v>
      </c>
      <c r="D51" s="38">
        <f t="shared" si="3"/>
        <v>0</v>
      </c>
      <c r="E51" s="56">
        <f t="shared" si="4"/>
        <v>49.618544920221112</v>
      </c>
      <c r="F51" s="79" t="str">
        <f>IF(E51=MIN(E45:E54),SMALL(E45:E54,2)-MIN(E45:E54),"")</f>
        <v/>
      </c>
      <c r="G51" s="9" t="str">
        <f>IF(E51&lt;&gt;MIN(E45:E54),"",IF(SMALL(E45:E54,2)-MIN(E45:E54)&gt;=3,"Strong",IF(SMALL(E45:E54,2)-MIN(E45:E54)&gt;=1.5,"Moderate","Narrow")))</f>
        <v/>
      </c>
    </row>
    <row r="52" spans="1:7" ht="20" customHeight="1" x14ac:dyDescent="0.2">
      <c r="A52" s="13" t="s">
        <v>166</v>
      </c>
      <c r="B52" s="23" t="s">
        <v>299</v>
      </c>
      <c r="C52" s="53">
        <f>SQRT((C20-29)^2+(C21-5)^2+(C22-6)^2+(C23-9)^2+(C24-12)^2+(C25-30)^2+(C26-14)^2)</f>
        <v>47.148700936505136</v>
      </c>
      <c r="D52" s="4">
        <f t="shared" si="3"/>
        <v>0</v>
      </c>
      <c r="E52" s="53">
        <f t="shared" si="4"/>
        <v>47.148700936505136</v>
      </c>
      <c r="F52" s="76" t="str">
        <f>IF(E52=MIN(E45:E54),SMALL(E45:E54,2)-MIN(E45:E54),"")</f>
        <v/>
      </c>
      <c r="G52" s="6" t="str">
        <f>IF(E52&lt;&gt;MIN(E45:E54),"",IF(SMALL(E45:E54,2)-MIN(E45:E54)&gt;=3,"Strong",IF(SMALL(E45:E54,2)-MIN(E45:E54)&gt;=1.5,"Moderate","Narrow")))</f>
        <v/>
      </c>
    </row>
    <row r="53" spans="1:7" ht="20" customHeight="1" x14ac:dyDescent="0.2">
      <c r="A53" s="15" t="s">
        <v>167</v>
      </c>
      <c r="B53" s="26" t="s">
        <v>300</v>
      </c>
      <c r="C53" s="55">
        <f>SQRT((C20-4)^2+(C21-1)^2+(C22-12)^2+(C23-30)^2+(C24-31)^2+(C25-27)^2+(C26-3)^2)</f>
        <v>52.535702146254792</v>
      </c>
      <c r="D53" s="37">
        <f t="shared" si="3"/>
        <v>0</v>
      </c>
      <c r="E53" s="55">
        <f t="shared" si="4"/>
        <v>52.535702146254792</v>
      </c>
      <c r="F53" s="78" t="str">
        <f>IF(E53=MIN(E45:E54),SMALL(E45:E54,2)-MIN(E45:E54),"")</f>
        <v/>
      </c>
      <c r="G53" s="8" t="str">
        <f>IF(E53&lt;&gt;MIN(E45:E54),"",IF(SMALL(E45:E54,2)-MIN(E45:E54)&gt;=3,"Strong",IF(SMALL(E45:E54,2)-MIN(E45:E54)&gt;=1.5,"Moderate","Narrow")))</f>
        <v/>
      </c>
    </row>
    <row r="54" spans="1:7" ht="20" customHeight="1" x14ac:dyDescent="0.2">
      <c r="A54" s="146" t="s">
        <v>168</v>
      </c>
      <c r="B54" s="147" t="s">
        <v>301</v>
      </c>
      <c r="C54" s="148">
        <f>SQRT((C20-4)^2+(C21-6)^2+(C22-36)^2+(C23-12)^2+(C24-27)^2+(C25-7)^2+(C26-5)^2)</f>
        <v>47.90615826801394</v>
      </c>
      <c r="D54" s="124">
        <f t="shared" si="3"/>
        <v>0</v>
      </c>
      <c r="E54" s="148">
        <f t="shared" si="4"/>
        <v>47.90615826801394</v>
      </c>
      <c r="F54" s="149" t="str">
        <f>IF(E54=MIN(E45:E54),SMALL(E45:E54,2)-MIN(E45:E54),"")</f>
        <v/>
      </c>
      <c r="G54" s="150" t="str">
        <f>IF(E54&lt;&gt;MIN(E45:E54),"",IF(SMALL(E45:E54,2)-MIN(E45:E54)&gt;=3,"Strong",IF(SMALL(E45:E54,2)-MIN(E45:E54)&gt;=1.5,"Moderate","Narrow")))</f>
        <v/>
      </c>
    </row>
    <row r="56" spans="1:7" ht="26" customHeight="1" x14ac:dyDescent="0.2">
      <c r="A56" s="221" t="str">
        <f>IF(COUNTA(G4:G15)&lt;12,"Answer all 12 questions to see your result","Best fit: "&amp;INDEX(A45:A54,MATCH(MIN(E45:E54),E45:E54,0))&amp;"  |  Confidence: "&amp;INDEX(G45:G54,MATCH(MIN(E45:E54),E45:E54,0)))</f>
        <v>Best fit: Natural Explorer  |  Confidence: Narrow</v>
      </c>
      <c r="B56" s="213"/>
      <c r="C56" s="213"/>
      <c r="D56" s="213"/>
      <c r="E56" s="213"/>
      <c r="F56" s="213"/>
      <c r="G56" s="213"/>
    </row>
    <row r="58" spans="1:7" ht="16" customHeight="1" x14ac:dyDescent="0.2">
      <c r="A58" s="220" t="s">
        <v>302</v>
      </c>
      <c r="B58" s="213"/>
      <c r="C58" s="213"/>
      <c r="D58" s="213"/>
      <c r="E58" s="213"/>
      <c r="F58" s="213"/>
      <c r="G58" s="213"/>
    </row>
    <row r="59" spans="1:7" ht="18" customHeight="1" x14ac:dyDescent="0.2">
      <c r="A59" s="1" t="s">
        <v>303</v>
      </c>
      <c r="B59" s="1" t="s">
        <v>280</v>
      </c>
      <c r="C59" s="1" t="s">
        <v>304</v>
      </c>
    </row>
    <row r="60" spans="1:7" ht="16" customHeight="1" x14ac:dyDescent="0.2">
      <c r="A60" s="60">
        <v>1</v>
      </c>
      <c r="B60" s="61" t="str">
        <f>INDEX(A45:A54,MATCH(SMALL(E45:E54,1),E45:E54,0))</f>
        <v>Natural Explorer</v>
      </c>
      <c r="C60" s="62">
        <f>SMALL(E45:E54,1)</f>
        <v>41.364235759892871</v>
      </c>
    </row>
    <row r="61" spans="1:7" ht="16" customHeight="1" x14ac:dyDescent="0.2">
      <c r="A61" s="83">
        <v>2</v>
      </c>
      <c r="B61" s="63" t="str">
        <f>INDEX(A45:A54,MATCH(SMALL(E45:E54,2),E45:E54,0))</f>
        <v>Earth Keeper</v>
      </c>
      <c r="C61" s="64">
        <f>SMALL(E45:E54,2)</f>
        <v>42.249260348555218</v>
      </c>
    </row>
    <row r="62" spans="1:7" ht="16" customHeight="1" x14ac:dyDescent="0.2">
      <c r="A62" s="84">
        <v>3</v>
      </c>
      <c r="B62" s="2" t="str">
        <f>INDEX(A45:A54,MATCH(SMALL(E45:E54,3),E45:E54,0))</f>
        <v>Results Driver</v>
      </c>
      <c r="C62" s="85">
        <f>SMALL(E45:E54,3)</f>
        <v>47.148700936505136</v>
      </c>
    </row>
    <row r="63" spans="1:7" ht="16" customHeight="1" x14ac:dyDescent="0.2">
      <c r="A63" s="83">
        <v>4</v>
      </c>
      <c r="B63" s="63" t="str">
        <f>INDEX(A45:A54,MATCH(SMALL(E45:E54,4),E45:E54,0))</f>
        <v>Creative Soul</v>
      </c>
      <c r="C63" s="64">
        <f>SMALL(E45:E54,4)</f>
        <v>47.90615826801394</v>
      </c>
    </row>
    <row r="64" spans="1:7" ht="16" customHeight="1" x14ac:dyDescent="0.2">
      <c r="A64" s="84">
        <v>5</v>
      </c>
      <c r="B64" s="2" t="str">
        <f>INDEX(A45:A54,MATCH(SMALL(E45:E54,5),E45:E54,0))</f>
        <v>Digital Native</v>
      </c>
      <c r="C64" s="85">
        <f>SMALL(E45:E54,5)</f>
        <v>48.114446894877631</v>
      </c>
    </row>
    <row r="65" spans="1:3" ht="16" customHeight="1" x14ac:dyDescent="0.2">
      <c r="A65" s="83">
        <v>6</v>
      </c>
      <c r="B65" s="63" t="str">
        <f>INDEX(A45:A54,MATCH(SMALL(E45:E54,6),E45:E54,0))</f>
        <v>Place Maker</v>
      </c>
      <c r="C65" s="64">
        <f>SMALL(E45:E54,6)</f>
        <v>48.166378315169183</v>
      </c>
    </row>
    <row r="66" spans="1:3" ht="16" customHeight="1" x14ac:dyDescent="0.2">
      <c r="A66" s="84">
        <v>7</v>
      </c>
      <c r="B66" s="2" t="str">
        <f>INDEX(A45:A54,MATCH(SMALL(E45:E54,7),E45:E54,0))</f>
        <v>Curious Mind</v>
      </c>
      <c r="C66" s="85">
        <f>SMALL(E45:E54,7)</f>
        <v>49.376107582514038</v>
      </c>
    </row>
    <row r="67" spans="1:3" ht="16" customHeight="1" x14ac:dyDescent="0.2">
      <c r="A67" s="83">
        <v>8</v>
      </c>
      <c r="B67" s="63" t="str">
        <f>INDEX(A45:A54,MATCH(SMALL(E45:E54,8),E45:E54,0))</f>
        <v>Caring Healer</v>
      </c>
      <c r="C67" s="64">
        <f>SMALL(E45:E54,8)</f>
        <v>49.618544920221112</v>
      </c>
    </row>
    <row r="68" spans="1:3" ht="16" customHeight="1" x14ac:dyDescent="0.2">
      <c r="A68" s="84">
        <v>9</v>
      </c>
      <c r="B68" s="2" t="str">
        <f>INDEX(A45:A54,MATCH(SMALL(E45:E54,9),E45:E54,0))</f>
        <v>Bold Inventor</v>
      </c>
      <c r="C68" s="85">
        <f>SMALL(E45:E54,9)</f>
        <v>51.623637996561229</v>
      </c>
    </row>
    <row r="69" spans="1:3" ht="16" customHeight="1" x14ac:dyDescent="0.2">
      <c r="A69" s="83">
        <v>10</v>
      </c>
      <c r="B69" s="63" t="str">
        <f>INDEX(A45:A54,MATCH(SMALL(E45:E54,10),E45:E54,0))</f>
        <v>Civic Thinker</v>
      </c>
      <c r="C69" s="64">
        <f>SMALL(E45:E54,10)</f>
        <v>52.535702146254792</v>
      </c>
    </row>
  </sheetData>
  <mergeCells count="8">
    <mergeCell ref="A1:I1"/>
    <mergeCell ref="A18:I18"/>
    <mergeCell ref="A43:I43"/>
    <mergeCell ref="A58:G58"/>
    <mergeCell ref="A2:I2"/>
    <mergeCell ref="A56:G56"/>
    <mergeCell ref="A28:I28"/>
    <mergeCell ref="A42:I4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0"/>
  <sheetViews>
    <sheetView workbookViewId="0"/>
  </sheetViews>
  <sheetFormatPr baseColWidth="10" defaultColWidth="8.83203125" defaultRowHeight="15" x14ac:dyDescent="0.2"/>
  <cols>
    <col min="1" max="1" width="42" customWidth="1"/>
    <col min="2" max="11" width="14" customWidth="1"/>
  </cols>
  <sheetData>
    <row r="1" spans="1:12" ht="24" customHeight="1" x14ac:dyDescent="0.2">
      <c r="A1" s="216" t="s">
        <v>305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</row>
    <row r="2" spans="1:12" ht="20" customHeight="1" x14ac:dyDescent="0.2">
      <c r="A2" s="218" t="s">
        <v>306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</row>
    <row r="4" spans="1:12" ht="18" customHeight="1" x14ac:dyDescent="0.2">
      <c r="A4" s="223" t="s">
        <v>307</v>
      </c>
      <c r="B4" s="213"/>
      <c r="C4" s="213"/>
      <c r="D4" s="213"/>
      <c r="E4" s="213"/>
      <c r="F4" s="213"/>
      <c r="G4" s="213"/>
      <c r="H4" s="213"/>
      <c r="I4" s="213"/>
      <c r="J4" s="213"/>
      <c r="K4" s="213"/>
    </row>
    <row r="5" spans="1:12" ht="28" customHeight="1" x14ac:dyDescent="0.2">
      <c r="A5" s="86" t="s">
        <v>9</v>
      </c>
      <c r="B5" s="93" t="s">
        <v>159</v>
      </c>
      <c r="C5" s="88" t="s">
        <v>160</v>
      </c>
      <c r="D5" s="92" t="s">
        <v>161</v>
      </c>
      <c r="E5" s="91" t="s">
        <v>162</v>
      </c>
      <c r="F5" s="130" t="s">
        <v>163</v>
      </c>
      <c r="G5" s="131" t="s">
        <v>164</v>
      </c>
      <c r="H5" s="90" t="s">
        <v>165</v>
      </c>
      <c r="I5" s="87" t="s">
        <v>166</v>
      </c>
      <c r="J5" s="89" t="s">
        <v>167</v>
      </c>
      <c r="K5" s="132" t="s">
        <v>168</v>
      </c>
    </row>
    <row r="6" spans="1:12" ht="20" customHeight="1" x14ac:dyDescent="0.2">
      <c r="A6" s="94" t="s">
        <v>231</v>
      </c>
      <c r="B6" s="35">
        <v>2</v>
      </c>
      <c r="C6" s="95"/>
      <c r="D6" s="95"/>
      <c r="E6" s="95"/>
      <c r="F6" s="126">
        <v>1</v>
      </c>
      <c r="G6" s="95"/>
      <c r="H6" s="38">
        <v>5</v>
      </c>
      <c r="I6" s="95"/>
      <c r="J6" s="95"/>
      <c r="K6" s="95"/>
    </row>
    <row r="7" spans="1:12" ht="20" customHeight="1" x14ac:dyDescent="0.2">
      <c r="A7" s="31" t="s">
        <v>232</v>
      </c>
      <c r="B7" s="96"/>
      <c r="C7" s="96"/>
      <c r="D7" s="96"/>
      <c r="E7" s="96"/>
      <c r="F7" s="96"/>
      <c r="G7" s="96"/>
      <c r="H7" s="96"/>
      <c r="I7" s="4">
        <v>2</v>
      </c>
      <c r="J7" s="37">
        <v>5</v>
      </c>
      <c r="K7" s="124">
        <v>1</v>
      </c>
    </row>
    <row r="8" spans="1:12" ht="20" customHeight="1" x14ac:dyDescent="0.2">
      <c r="A8" s="94" t="s">
        <v>233</v>
      </c>
      <c r="B8" s="95"/>
      <c r="C8" s="32">
        <v>5</v>
      </c>
      <c r="D8" s="95"/>
      <c r="E8" s="36">
        <v>2</v>
      </c>
      <c r="F8" s="95"/>
      <c r="G8" s="95"/>
      <c r="H8" s="95"/>
      <c r="I8" s="95"/>
      <c r="J8" s="95"/>
      <c r="K8" s="95"/>
    </row>
    <row r="9" spans="1:12" ht="20" customHeight="1" x14ac:dyDescent="0.2">
      <c r="A9" s="31" t="s">
        <v>234</v>
      </c>
      <c r="B9" s="35">
        <v>1</v>
      </c>
      <c r="C9" s="96"/>
      <c r="D9" s="96"/>
      <c r="E9" s="96"/>
      <c r="F9" s="126">
        <v>6</v>
      </c>
      <c r="G9" s="127">
        <v>2</v>
      </c>
      <c r="H9" s="96"/>
      <c r="I9" s="96"/>
      <c r="J9" s="96"/>
      <c r="K9" s="96"/>
    </row>
    <row r="10" spans="1:12" ht="20" customHeight="1" x14ac:dyDescent="0.2">
      <c r="A10" s="94" t="s">
        <v>308</v>
      </c>
      <c r="B10" s="35">
        <v>2</v>
      </c>
      <c r="C10" s="95"/>
      <c r="D10" s="95"/>
      <c r="E10" s="95"/>
      <c r="F10" s="126">
        <v>2</v>
      </c>
      <c r="G10" s="127">
        <v>5</v>
      </c>
      <c r="H10" s="95"/>
      <c r="I10" s="95"/>
      <c r="J10" s="95"/>
      <c r="K10" s="95"/>
    </row>
    <row r="11" spans="1:12" ht="20" customHeight="1" x14ac:dyDescent="0.2">
      <c r="A11" s="31" t="s">
        <v>309</v>
      </c>
      <c r="B11" s="96"/>
      <c r="C11" s="32">
        <v>1</v>
      </c>
      <c r="D11" s="34">
        <v>6</v>
      </c>
      <c r="E11" s="96"/>
      <c r="F11" s="96"/>
      <c r="G11" s="96"/>
      <c r="H11" s="96"/>
      <c r="I11" s="4">
        <v>1</v>
      </c>
      <c r="J11" s="96"/>
      <c r="K11" s="96"/>
    </row>
    <row r="13" spans="1:12" ht="18" customHeight="1" x14ac:dyDescent="0.2">
      <c r="A13" s="222" t="s">
        <v>310</v>
      </c>
      <c r="B13" s="213"/>
      <c r="C13" s="213"/>
      <c r="D13" s="213"/>
      <c r="E13" s="213"/>
      <c r="F13" s="213"/>
      <c r="G13" s="213"/>
      <c r="H13" s="213"/>
      <c r="I13" s="213"/>
      <c r="J13" s="213"/>
      <c r="K13" s="213"/>
    </row>
    <row r="14" spans="1:12" ht="28" customHeight="1" x14ac:dyDescent="0.2">
      <c r="A14" s="86" t="s">
        <v>9</v>
      </c>
      <c r="B14" s="93" t="s">
        <v>159</v>
      </c>
      <c r="C14" s="88" t="s">
        <v>160</v>
      </c>
      <c r="D14" s="92" t="s">
        <v>161</v>
      </c>
      <c r="E14" s="91" t="s">
        <v>162</v>
      </c>
      <c r="F14" s="130" t="s">
        <v>163</v>
      </c>
      <c r="G14" s="131" t="s">
        <v>164</v>
      </c>
      <c r="H14" s="90" t="s">
        <v>165</v>
      </c>
      <c r="I14" s="87" t="s">
        <v>166</v>
      </c>
      <c r="J14" s="89" t="s">
        <v>167</v>
      </c>
      <c r="K14" s="132" t="s">
        <v>168</v>
      </c>
    </row>
    <row r="15" spans="1:12" ht="20" customHeight="1" x14ac:dyDescent="0.2">
      <c r="A15" s="94" t="s">
        <v>262</v>
      </c>
      <c r="B15" s="35">
        <v>5</v>
      </c>
      <c r="C15" s="32">
        <v>2</v>
      </c>
      <c r="D15" s="34">
        <v>2</v>
      </c>
      <c r="E15" s="95"/>
      <c r="F15" s="95"/>
      <c r="G15" s="95"/>
      <c r="H15" s="95"/>
      <c r="I15" s="95"/>
      <c r="J15" s="95"/>
      <c r="K15" s="95"/>
    </row>
    <row r="16" spans="1:12" ht="20" customHeight="1" x14ac:dyDescent="0.2">
      <c r="A16" s="31" t="s">
        <v>263</v>
      </c>
      <c r="B16" s="96"/>
      <c r="C16" s="32">
        <v>2</v>
      </c>
      <c r="D16" s="34">
        <v>5</v>
      </c>
      <c r="E16" s="96"/>
      <c r="F16" s="96"/>
      <c r="G16" s="96"/>
      <c r="H16" s="96"/>
      <c r="I16" s="4">
        <v>2</v>
      </c>
      <c r="J16" s="96"/>
      <c r="K16" s="96"/>
    </row>
    <row r="17" spans="1:11" ht="20" customHeight="1" x14ac:dyDescent="0.2">
      <c r="A17" s="94" t="s">
        <v>264</v>
      </c>
      <c r="B17" s="95"/>
      <c r="C17" s="95"/>
      <c r="D17" s="95"/>
      <c r="E17" s="36">
        <v>4</v>
      </c>
      <c r="F17" s="95"/>
      <c r="G17" s="95"/>
      <c r="H17" s="95"/>
      <c r="I17" s="4">
        <v>1</v>
      </c>
      <c r="J17" s="95"/>
      <c r="K17" s="124">
        <v>4</v>
      </c>
    </row>
    <row r="18" spans="1:11" ht="20" customHeight="1" x14ac:dyDescent="0.2">
      <c r="A18" s="31" t="s">
        <v>265</v>
      </c>
      <c r="B18" s="35">
        <v>1</v>
      </c>
      <c r="C18" s="96"/>
      <c r="D18" s="96"/>
      <c r="E18" s="96"/>
      <c r="F18" s="126">
        <v>5</v>
      </c>
      <c r="G18" s="127">
        <v>4</v>
      </c>
      <c r="H18" s="96"/>
      <c r="I18" s="96"/>
      <c r="J18" s="96"/>
      <c r="K18" s="96"/>
    </row>
    <row r="19" spans="1:11" ht="20" customHeight="1" x14ac:dyDescent="0.2">
      <c r="A19" s="94" t="s">
        <v>311</v>
      </c>
      <c r="B19" s="35">
        <v>2</v>
      </c>
      <c r="C19" s="95"/>
      <c r="D19" s="95"/>
      <c r="E19" s="95"/>
      <c r="F19" s="95"/>
      <c r="G19" s="95"/>
      <c r="H19" s="38">
        <v>5</v>
      </c>
      <c r="I19" s="95"/>
      <c r="J19" s="37">
        <v>1</v>
      </c>
      <c r="K19" s="95"/>
    </row>
    <row r="20" spans="1:11" ht="20" customHeight="1" x14ac:dyDescent="0.2">
      <c r="A20" s="31" t="s">
        <v>312</v>
      </c>
      <c r="B20" s="96"/>
      <c r="C20" s="32">
        <v>1</v>
      </c>
      <c r="D20" s="96"/>
      <c r="E20" s="96"/>
      <c r="F20" s="96"/>
      <c r="G20" s="96"/>
      <c r="H20" s="96"/>
      <c r="I20" s="4">
        <v>5</v>
      </c>
      <c r="J20" s="37">
        <v>2</v>
      </c>
      <c r="K20" s="96"/>
    </row>
  </sheetData>
  <mergeCells count="4">
    <mergeCell ref="A2:L2"/>
    <mergeCell ref="A13:K13"/>
    <mergeCell ref="A1:L1"/>
    <mergeCell ref="A4:K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4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4" customWidth="1"/>
    <col min="2" max="2" width="24" customWidth="1"/>
    <col min="3" max="3" width="40" customWidth="1"/>
    <col min="4" max="4" width="48" customWidth="1"/>
    <col min="5" max="5" width="26" customWidth="1"/>
  </cols>
  <sheetData>
    <row r="1" spans="1:6" ht="24" customHeight="1" x14ac:dyDescent="0.2">
      <c r="A1" s="254" t="s">
        <v>313</v>
      </c>
      <c r="B1" s="213"/>
      <c r="C1" s="213"/>
      <c r="D1" s="213"/>
      <c r="E1" s="213"/>
      <c r="F1" s="213"/>
    </row>
    <row r="2" spans="1:6" ht="16" customHeight="1" x14ac:dyDescent="0.2">
      <c r="A2" s="218" t="s">
        <v>314</v>
      </c>
      <c r="B2" s="213"/>
      <c r="C2" s="213"/>
      <c r="D2" s="213"/>
      <c r="E2" s="213"/>
      <c r="F2" s="213"/>
    </row>
    <row r="3" spans="1:6" ht="22" customHeight="1" x14ac:dyDescent="0.2">
      <c r="A3" s="1" t="s">
        <v>315</v>
      </c>
      <c r="B3" s="1" t="s">
        <v>280</v>
      </c>
      <c r="C3" s="1" t="s">
        <v>316</v>
      </c>
      <c r="D3" s="1" t="s">
        <v>317</v>
      </c>
      <c r="E3" s="1" t="s">
        <v>318</v>
      </c>
    </row>
    <row r="4" spans="1:6" ht="16" customHeight="1" x14ac:dyDescent="0.2">
      <c r="A4" s="242">
        <v>1</v>
      </c>
      <c r="B4" s="243" t="s">
        <v>159</v>
      </c>
      <c r="C4" s="224" t="s">
        <v>319</v>
      </c>
      <c r="D4" s="24" t="s">
        <v>320</v>
      </c>
      <c r="E4" s="151" t="s">
        <v>169</v>
      </c>
    </row>
    <row r="5" spans="1:6" ht="16" customHeight="1" x14ac:dyDescent="0.2">
      <c r="A5" s="225"/>
      <c r="B5" s="225"/>
      <c r="C5" s="225"/>
      <c r="D5" s="152" t="s">
        <v>321</v>
      </c>
      <c r="E5" s="153" t="s">
        <v>169</v>
      </c>
    </row>
    <row r="6" spans="1:6" ht="16" customHeight="1" x14ac:dyDescent="0.2">
      <c r="A6" s="225"/>
      <c r="B6" s="225"/>
      <c r="C6" s="225"/>
      <c r="D6" s="24" t="s">
        <v>322</v>
      </c>
      <c r="E6" s="151" t="s">
        <v>169</v>
      </c>
    </row>
    <row r="7" spans="1:6" ht="16" customHeight="1" x14ac:dyDescent="0.2">
      <c r="A7" s="225"/>
      <c r="B7" s="225"/>
      <c r="C7" s="225"/>
      <c r="D7" s="152" t="s">
        <v>323</v>
      </c>
      <c r="E7" s="153" t="s">
        <v>169</v>
      </c>
    </row>
    <row r="8" spans="1:6" ht="16" customHeight="1" x14ac:dyDescent="0.2">
      <c r="A8" s="225"/>
      <c r="B8" s="225"/>
      <c r="C8" s="225"/>
      <c r="D8" s="24" t="s">
        <v>324</v>
      </c>
      <c r="E8" s="151" t="s">
        <v>169</v>
      </c>
    </row>
    <row r="9" spans="1:6" ht="16" customHeight="1" x14ac:dyDescent="0.2">
      <c r="A9" s="225"/>
      <c r="B9" s="225"/>
      <c r="C9" s="225"/>
      <c r="D9" s="152" t="s">
        <v>325</v>
      </c>
      <c r="E9" s="153" t="s">
        <v>169</v>
      </c>
    </row>
    <row r="10" spans="1:6" ht="16" customHeight="1" x14ac:dyDescent="0.2">
      <c r="A10" s="225"/>
      <c r="B10" s="225"/>
      <c r="C10" s="225"/>
      <c r="D10" s="24" t="s">
        <v>326</v>
      </c>
      <c r="E10" s="151" t="s">
        <v>164</v>
      </c>
    </row>
    <row r="11" spans="1:6" ht="16" customHeight="1" x14ac:dyDescent="0.2">
      <c r="A11" s="225"/>
      <c r="B11" s="225"/>
      <c r="C11" s="225"/>
      <c r="D11" s="152" t="s">
        <v>327</v>
      </c>
      <c r="E11" s="153" t="s">
        <v>169</v>
      </c>
    </row>
    <row r="12" spans="1:6" ht="16" customHeight="1" x14ac:dyDescent="0.2">
      <c r="A12" s="225"/>
      <c r="B12" s="225"/>
      <c r="C12" s="225"/>
      <c r="D12" s="24" t="s">
        <v>328</v>
      </c>
      <c r="E12" s="151" t="s">
        <v>169</v>
      </c>
    </row>
    <row r="13" spans="1:6" ht="16" customHeight="1" x14ac:dyDescent="0.2">
      <c r="A13" s="225"/>
      <c r="B13" s="225"/>
      <c r="C13" s="225"/>
      <c r="D13" s="152" t="s">
        <v>329</v>
      </c>
      <c r="E13" s="153" t="s">
        <v>163</v>
      </c>
    </row>
    <row r="14" spans="1:6" ht="16" customHeight="1" x14ac:dyDescent="0.2">
      <c r="A14" s="226"/>
      <c r="B14" s="226"/>
      <c r="C14" s="226"/>
      <c r="D14" s="24" t="s">
        <v>330</v>
      </c>
      <c r="E14" s="151" t="s">
        <v>165</v>
      </c>
    </row>
    <row r="15" spans="1:6" ht="16" customHeight="1" x14ac:dyDescent="0.2">
      <c r="A15" s="235">
        <v>2</v>
      </c>
      <c r="B15" s="256" t="s">
        <v>160</v>
      </c>
      <c r="C15" s="236" t="s">
        <v>293</v>
      </c>
      <c r="D15" s="22" t="s">
        <v>331</v>
      </c>
      <c r="E15" s="154" t="s">
        <v>169</v>
      </c>
    </row>
    <row r="16" spans="1:6" ht="16" customHeight="1" x14ac:dyDescent="0.2">
      <c r="A16" s="225"/>
      <c r="B16" s="225"/>
      <c r="C16" s="225"/>
      <c r="D16" s="155" t="s">
        <v>332</v>
      </c>
      <c r="E16" s="153" t="s">
        <v>169</v>
      </c>
    </row>
    <row r="17" spans="1:5" ht="16" customHeight="1" x14ac:dyDescent="0.2">
      <c r="A17" s="225"/>
      <c r="B17" s="225"/>
      <c r="C17" s="225"/>
      <c r="D17" s="22" t="s">
        <v>333</v>
      </c>
      <c r="E17" s="154" t="s">
        <v>169</v>
      </c>
    </row>
    <row r="18" spans="1:5" ht="16" customHeight="1" x14ac:dyDescent="0.2">
      <c r="A18" s="225"/>
      <c r="B18" s="225"/>
      <c r="C18" s="225"/>
      <c r="D18" s="155" t="s">
        <v>334</v>
      </c>
      <c r="E18" s="153" t="s">
        <v>169</v>
      </c>
    </row>
    <row r="19" spans="1:5" ht="16" customHeight="1" x14ac:dyDescent="0.2">
      <c r="A19" s="225"/>
      <c r="B19" s="225"/>
      <c r="C19" s="225"/>
      <c r="D19" s="22" t="s">
        <v>335</v>
      </c>
      <c r="E19" s="154" t="s">
        <v>164</v>
      </c>
    </row>
    <row r="20" spans="1:5" ht="16" customHeight="1" x14ac:dyDescent="0.2">
      <c r="A20" s="225"/>
      <c r="B20" s="225"/>
      <c r="C20" s="225"/>
      <c r="D20" s="155" t="s">
        <v>336</v>
      </c>
      <c r="E20" s="153" t="s">
        <v>169</v>
      </c>
    </row>
    <row r="21" spans="1:5" ht="16" customHeight="1" x14ac:dyDescent="0.2">
      <c r="A21" s="225"/>
      <c r="B21" s="225"/>
      <c r="C21" s="225"/>
      <c r="D21" s="22" t="s">
        <v>337</v>
      </c>
      <c r="E21" s="154" t="s">
        <v>169</v>
      </c>
    </row>
    <row r="22" spans="1:5" ht="16" customHeight="1" x14ac:dyDescent="0.2">
      <c r="A22" s="225"/>
      <c r="B22" s="225"/>
      <c r="C22" s="225"/>
      <c r="D22" s="155" t="s">
        <v>338</v>
      </c>
      <c r="E22" s="153" t="s">
        <v>169</v>
      </c>
    </row>
    <row r="23" spans="1:5" ht="16" customHeight="1" x14ac:dyDescent="0.2">
      <c r="A23" s="225"/>
      <c r="B23" s="225"/>
      <c r="C23" s="225"/>
      <c r="D23" s="22" t="s">
        <v>339</v>
      </c>
      <c r="E23" s="154" t="s">
        <v>169</v>
      </c>
    </row>
    <row r="24" spans="1:5" ht="16" customHeight="1" x14ac:dyDescent="0.2">
      <c r="A24" s="226"/>
      <c r="B24" s="226"/>
      <c r="C24" s="226"/>
      <c r="D24" s="155" t="s">
        <v>340</v>
      </c>
      <c r="E24" s="153" t="s">
        <v>169</v>
      </c>
    </row>
    <row r="25" spans="1:5" ht="16" customHeight="1" x14ac:dyDescent="0.2">
      <c r="A25" s="238">
        <v>3</v>
      </c>
      <c r="B25" s="228" t="s">
        <v>161</v>
      </c>
      <c r="C25" s="239" t="s">
        <v>294</v>
      </c>
      <c r="D25" s="20" t="s">
        <v>341</v>
      </c>
      <c r="E25" s="156" t="s">
        <v>169</v>
      </c>
    </row>
    <row r="26" spans="1:5" ht="16" customHeight="1" x14ac:dyDescent="0.2">
      <c r="A26" s="225"/>
      <c r="B26" s="225"/>
      <c r="C26" s="225"/>
      <c r="D26" s="157" t="s">
        <v>342</v>
      </c>
      <c r="E26" s="153" t="s">
        <v>169</v>
      </c>
    </row>
    <row r="27" spans="1:5" ht="16" customHeight="1" x14ac:dyDescent="0.2">
      <c r="A27" s="225"/>
      <c r="B27" s="225"/>
      <c r="C27" s="225"/>
      <c r="D27" s="20" t="s">
        <v>343</v>
      </c>
      <c r="E27" s="156" t="s">
        <v>169</v>
      </c>
    </row>
    <row r="28" spans="1:5" ht="16" customHeight="1" x14ac:dyDescent="0.2">
      <c r="A28" s="225"/>
      <c r="B28" s="225"/>
      <c r="C28" s="225"/>
      <c r="D28" s="157" t="s">
        <v>344</v>
      </c>
      <c r="E28" s="153" t="s">
        <v>169</v>
      </c>
    </row>
    <row r="29" spans="1:5" ht="16" customHeight="1" x14ac:dyDescent="0.2">
      <c r="A29" s="225"/>
      <c r="B29" s="225"/>
      <c r="C29" s="225"/>
      <c r="D29" s="20" t="s">
        <v>345</v>
      </c>
      <c r="E29" s="156" t="s">
        <v>169</v>
      </c>
    </row>
    <row r="30" spans="1:5" ht="16" customHeight="1" x14ac:dyDescent="0.2">
      <c r="A30" s="226"/>
      <c r="B30" s="226"/>
      <c r="C30" s="226"/>
      <c r="D30" s="157" t="s">
        <v>346</v>
      </c>
      <c r="E30" s="153" t="s">
        <v>169</v>
      </c>
    </row>
    <row r="31" spans="1:5" ht="16" customHeight="1" x14ac:dyDescent="0.2">
      <c r="A31" s="247">
        <v>4</v>
      </c>
      <c r="B31" s="253" t="s">
        <v>162</v>
      </c>
      <c r="C31" s="229" t="s">
        <v>295</v>
      </c>
      <c r="D31" s="21" t="s">
        <v>347</v>
      </c>
      <c r="E31" s="158" t="s">
        <v>169</v>
      </c>
    </row>
    <row r="32" spans="1:5" ht="16" customHeight="1" x14ac:dyDescent="0.2">
      <c r="A32" s="225"/>
      <c r="B32" s="225"/>
      <c r="C32" s="225"/>
      <c r="D32" s="159" t="s">
        <v>348</v>
      </c>
      <c r="E32" s="153" t="s">
        <v>169</v>
      </c>
    </row>
    <row r="33" spans="1:5" ht="16" customHeight="1" x14ac:dyDescent="0.2">
      <c r="A33" s="225"/>
      <c r="B33" s="225"/>
      <c r="C33" s="225"/>
      <c r="D33" s="21" t="s">
        <v>349</v>
      </c>
      <c r="E33" s="158" t="s">
        <v>169</v>
      </c>
    </row>
    <row r="34" spans="1:5" ht="16" customHeight="1" x14ac:dyDescent="0.2">
      <c r="A34" s="225"/>
      <c r="B34" s="225"/>
      <c r="C34" s="225"/>
      <c r="D34" s="159" t="s">
        <v>350</v>
      </c>
      <c r="E34" s="153" t="s">
        <v>169</v>
      </c>
    </row>
    <row r="35" spans="1:5" ht="16" customHeight="1" x14ac:dyDescent="0.2">
      <c r="A35" s="225"/>
      <c r="B35" s="225"/>
      <c r="C35" s="225"/>
      <c r="D35" s="21" t="s">
        <v>351</v>
      </c>
      <c r="E35" s="158" t="s">
        <v>169</v>
      </c>
    </row>
    <row r="36" spans="1:5" ht="16" customHeight="1" x14ac:dyDescent="0.2">
      <c r="A36" s="225"/>
      <c r="B36" s="225"/>
      <c r="C36" s="225"/>
      <c r="D36" s="159" t="s">
        <v>352</v>
      </c>
      <c r="E36" s="153" t="s">
        <v>169</v>
      </c>
    </row>
    <row r="37" spans="1:5" ht="16" customHeight="1" x14ac:dyDescent="0.2">
      <c r="A37" s="226"/>
      <c r="B37" s="226"/>
      <c r="C37" s="226"/>
      <c r="D37" s="21" t="s">
        <v>353</v>
      </c>
      <c r="E37" s="158" t="s">
        <v>164</v>
      </c>
    </row>
    <row r="38" spans="1:5" ht="16" customHeight="1" x14ac:dyDescent="0.2">
      <c r="A38" s="240">
        <v>5</v>
      </c>
      <c r="B38" s="231" t="s">
        <v>163</v>
      </c>
      <c r="C38" s="246" t="s">
        <v>296</v>
      </c>
      <c r="D38" s="137" t="s">
        <v>354</v>
      </c>
      <c r="E38" s="160" t="s">
        <v>169</v>
      </c>
    </row>
    <row r="39" spans="1:5" ht="16" customHeight="1" x14ac:dyDescent="0.2">
      <c r="A39" s="225"/>
      <c r="B39" s="225"/>
      <c r="C39" s="225"/>
      <c r="D39" s="161" t="s">
        <v>355</v>
      </c>
      <c r="E39" s="153" t="s">
        <v>169</v>
      </c>
    </row>
    <row r="40" spans="1:5" ht="16" customHeight="1" x14ac:dyDescent="0.2">
      <c r="A40" s="225"/>
      <c r="B40" s="225"/>
      <c r="C40" s="225"/>
      <c r="D40" s="137" t="s">
        <v>356</v>
      </c>
      <c r="E40" s="160" t="s">
        <v>169</v>
      </c>
    </row>
    <row r="41" spans="1:5" ht="16" customHeight="1" x14ac:dyDescent="0.2">
      <c r="A41" s="225"/>
      <c r="B41" s="225"/>
      <c r="C41" s="225"/>
      <c r="D41" s="161" t="s">
        <v>357</v>
      </c>
      <c r="E41" s="153" t="s">
        <v>169</v>
      </c>
    </row>
    <row r="42" spans="1:5" ht="16" customHeight="1" x14ac:dyDescent="0.2">
      <c r="A42" s="225"/>
      <c r="B42" s="225"/>
      <c r="C42" s="225"/>
      <c r="D42" s="137" t="s">
        <v>358</v>
      </c>
      <c r="E42" s="160" t="s">
        <v>166</v>
      </c>
    </row>
    <row r="43" spans="1:5" ht="16" customHeight="1" x14ac:dyDescent="0.2">
      <c r="A43" s="225"/>
      <c r="B43" s="225"/>
      <c r="C43" s="225"/>
      <c r="D43" s="161" t="s">
        <v>359</v>
      </c>
      <c r="E43" s="153" t="s">
        <v>169</v>
      </c>
    </row>
    <row r="44" spans="1:5" ht="16" customHeight="1" x14ac:dyDescent="0.2">
      <c r="A44" s="225"/>
      <c r="B44" s="225"/>
      <c r="C44" s="225"/>
      <c r="D44" s="137" t="s">
        <v>329</v>
      </c>
      <c r="E44" s="160" t="s">
        <v>159</v>
      </c>
    </row>
    <row r="45" spans="1:5" ht="16" customHeight="1" x14ac:dyDescent="0.2">
      <c r="A45" s="225"/>
      <c r="B45" s="225"/>
      <c r="C45" s="225"/>
      <c r="D45" s="161" t="s">
        <v>360</v>
      </c>
      <c r="E45" s="153" t="s">
        <v>169</v>
      </c>
    </row>
    <row r="46" spans="1:5" ht="16" customHeight="1" x14ac:dyDescent="0.2">
      <c r="A46" s="225"/>
      <c r="B46" s="225"/>
      <c r="C46" s="225"/>
      <c r="D46" s="137" t="s">
        <v>361</v>
      </c>
      <c r="E46" s="160" t="s">
        <v>166</v>
      </c>
    </row>
    <row r="47" spans="1:5" ht="16" customHeight="1" x14ac:dyDescent="0.2">
      <c r="A47" s="225"/>
      <c r="B47" s="225"/>
      <c r="C47" s="225"/>
      <c r="D47" s="161" t="s">
        <v>362</v>
      </c>
      <c r="E47" s="153" t="s">
        <v>164</v>
      </c>
    </row>
    <row r="48" spans="1:5" ht="16" customHeight="1" x14ac:dyDescent="0.2">
      <c r="A48" s="226"/>
      <c r="B48" s="226"/>
      <c r="C48" s="226"/>
      <c r="D48" s="137" t="s">
        <v>363</v>
      </c>
      <c r="E48" s="160" t="s">
        <v>169</v>
      </c>
    </row>
    <row r="49" spans="1:5" ht="16" customHeight="1" x14ac:dyDescent="0.2">
      <c r="A49" s="251">
        <v>6</v>
      </c>
      <c r="B49" s="241" t="s">
        <v>164</v>
      </c>
      <c r="C49" s="252" t="s">
        <v>297</v>
      </c>
      <c r="D49" s="142" t="s">
        <v>364</v>
      </c>
      <c r="E49" s="162" t="s">
        <v>169</v>
      </c>
    </row>
    <row r="50" spans="1:5" ht="16" customHeight="1" x14ac:dyDescent="0.2">
      <c r="A50" s="225"/>
      <c r="B50" s="225"/>
      <c r="C50" s="225"/>
      <c r="D50" s="163" t="s">
        <v>365</v>
      </c>
      <c r="E50" s="153" t="s">
        <v>169</v>
      </c>
    </row>
    <row r="51" spans="1:5" ht="16" customHeight="1" x14ac:dyDescent="0.2">
      <c r="A51" s="225"/>
      <c r="B51" s="225"/>
      <c r="C51" s="225"/>
      <c r="D51" s="142" t="s">
        <v>366</v>
      </c>
      <c r="E51" s="162" t="s">
        <v>169</v>
      </c>
    </row>
    <row r="52" spans="1:5" ht="16" customHeight="1" x14ac:dyDescent="0.2">
      <c r="A52" s="225"/>
      <c r="B52" s="225"/>
      <c r="C52" s="225"/>
      <c r="D52" s="163" t="s">
        <v>326</v>
      </c>
      <c r="E52" s="153" t="s">
        <v>159</v>
      </c>
    </row>
    <row r="53" spans="1:5" ht="16" customHeight="1" x14ac:dyDescent="0.2">
      <c r="A53" s="225"/>
      <c r="B53" s="225"/>
      <c r="C53" s="225"/>
      <c r="D53" s="142" t="s">
        <v>353</v>
      </c>
      <c r="E53" s="162" t="s">
        <v>162</v>
      </c>
    </row>
    <row r="54" spans="1:5" ht="16" customHeight="1" x14ac:dyDescent="0.2">
      <c r="A54" s="225"/>
      <c r="B54" s="225"/>
      <c r="C54" s="225"/>
      <c r="D54" s="163" t="s">
        <v>335</v>
      </c>
      <c r="E54" s="153" t="s">
        <v>160</v>
      </c>
    </row>
    <row r="55" spans="1:5" ht="16" customHeight="1" x14ac:dyDescent="0.2">
      <c r="A55" s="225"/>
      <c r="B55" s="225"/>
      <c r="C55" s="225"/>
      <c r="D55" s="142" t="s">
        <v>362</v>
      </c>
      <c r="E55" s="162" t="s">
        <v>163</v>
      </c>
    </row>
    <row r="56" spans="1:5" ht="16" customHeight="1" x14ac:dyDescent="0.2">
      <c r="A56" s="225"/>
      <c r="B56" s="225"/>
      <c r="C56" s="225"/>
      <c r="D56" s="163" t="s">
        <v>367</v>
      </c>
      <c r="E56" s="153" t="s">
        <v>169</v>
      </c>
    </row>
    <row r="57" spans="1:5" ht="16" customHeight="1" x14ac:dyDescent="0.2">
      <c r="A57" s="226"/>
      <c r="B57" s="226"/>
      <c r="C57" s="226"/>
      <c r="D57" s="142" t="s">
        <v>368</v>
      </c>
      <c r="E57" s="162" t="s">
        <v>169</v>
      </c>
    </row>
    <row r="58" spans="1:5" ht="16" customHeight="1" x14ac:dyDescent="0.2">
      <c r="A58" s="244">
        <v>7</v>
      </c>
      <c r="B58" s="230" t="s">
        <v>165</v>
      </c>
      <c r="C58" s="255" t="s">
        <v>298</v>
      </c>
      <c r="D58" s="25" t="s">
        <v>369</v>
      </c>
      <c r="E58" s="164" t="s">
        <v>169</v>
      </c>
    </row>
    <row r="59" spans="1:5" ht="16" customHeight="1" x14ac:dyDescent="0.2">
      <c r="A59" s="225"/>
      <c r="B59" s="225"/>
      <c r="C59" s="225"/>
      <c r="D59" s="165" t="s">
        <v>370</v>
      </c>
      <c r="E59" s="153" t="s">
        <v>169</v>
      </c>
    </row>
    <row r="60" spans="1:5" ht="16" customHeight="1" x14ac:dyDescent="0.2">
      <c r="A60" s="225"/>
      <c r="B60" s="225"/>
      <c r="C60" s="225"/>
      <c r="D60" s="25" t="s">
        <v>371</v>
      </c>
      <c r="E60" s="164" t="s">
        <v>169</v>
      </c>
    </row>
    <row r="61" spans="1:5" ht="16" customHeight="1" x14ac:dyDescent="0.2">
      <c r="A61" s="225"/>
      <c r="B61" s="225"/>
      <c r="C61" s="225"/>
      <c r="D61" s="165" t="s">
        <v>372</v>
      </c>
      <c r="E61" s="153" t="s">
        <v>169</v>
      </c>
    </row>
    <row r="62" spans="1:5" ht="16" customHeight="1" x14ac:dyDescent="0.2">
      <c r="A62" s="225"/>
      <c r="B62" s="225"/>
      <c r="C62" s="225"/>
      <c r="D62" s="25" t="s">
        <v>373</v>
      </c>
      <c r="E62" s="164" t="s">
        <v>169</v>
      </c>
    </row>
    <row r="63" spans="1:5" ht="16" customHeight="1" x14ac:dyDescent="0.2">
      <c r="A63" s="225"/>
      <c r="B63" s="225"/>
      <c r="C63" s="225"/>
      <c r="D63" s="165" t="s">
        <v>374</v>
      </c>
      <c r="E63" s="153" t="s">
        <v>169</v>
      </c>
    </row>
    <row r="64" spans="1:5" ht="16" customHeight="1" x14ac:dyDescent="0.2">
      <c r="A64" s="225"/>
      <c r="B64" s="225"/>
      <c r="C64" s="225"/>
      <c r="D64" s="25" t="s">
        <v>375</v>
      </c>
      <c r="E64" s="164" t="s">
        <v>169</v>
      </c>
    </row>
    <row r="65" spans="1:5" ht="16" customHeight="1" x14ac:dyDescent="0.2">
      <c r="A65" s="225"/>
      <c r="B65" s="225"/>
      <c r="C65" s="225"/>
      <c r="D65" s="165" t="s">
        <v>330</v>
      </c>
      <c r="E65" s="153" t="s">
        <v>159</v>
      </c>
    </row>
    <row r="66" spans="1:5" ht="16" customHeight="1" x14ac:dyDescent="0.2">
      <c r="A66" s="225"/>
      <c r="B66" s="225"/>
      <c r="C66" s="225"/>
      <c r="D66" s="25" t="s">
        <v>376</v>
      </c>
      <c r="E66" s="164" t="s">
        <v>169</v>
      </c>
    </row>
    <row r="67" spans="1:5" ht="16" customHeight="1" x14ac:dyDescent="0.2">
      <c r="A67" s="225"/>
      <c r="B67" s="225"/>
      <c r="C67" s="225"/>
      <c r="D67" s="165" t="s">
        <v>377</v>
      </c>
      <c r="E67" s="153" t="s">
        <v>169</v>
      </c>
    </row>
    <row r="68" spans="1:5" ht="16" customHeight="1" x14ac:dyDescent="0.2">
      <c r="A68" s="226"/>
      <c r="B68" s="226"/>
      <c r="C68" s="226"/>
      <c r="D68" s="25" t="s">
        <v>378</v>
      </c>
      <c r="E68" s="164" t="s">
        <v>167</v>
      </c>
    </row>
    <row r="69" spans="1:5" ht="16" customHeight="1" x14ac:dyDescent="0.2">
      <c r="A69" s="227">
        <v>8</v>
      </c>
      <c r="B69" s="237" t="s">
        <v>166</v>
      </c>
      <c r="C69" s="245" t="s">
        <v>299</v>
      </c>
      <c r="D69" s="23" t="s">
        <v>379</v>
      </c>
      <c r="E69" s="166" t="s">
        <v>169</v>
      </c>
    </row>
    <row r="70" spans="1:5" ht="16" customHeight="1" x14ac:dyDescent="0.2">
      <c r="A70" s="225"/>
      <c r="B70" s="225"/>
      <c r="C70" s="225"/>
      <c r="D70" s="167" t="s">
        <v>380</v>
      </c>
      <c r="E70" s="153" t="s">
        <v>169</v>
      </c>
    </row>
    <row r="71" spans="1:5" ht="16" customHeight="1" x14ac:dyDescent="0.2">
      <c r="A71" s="225"/>
      <c r="B71" s="225"/>
      <c r="C71" s="225"/>
      <c r="D71" s="23" t="s">
        <v>381</v>
      </c>
      <c r="E71" s="166" t="s">
        <v>169</v>
      </c>
    </row>
    <row r="72" spans="1:5" ht="16" customHeight="1" x14ac:dyDescent="0.2">
      <c r="A72" s="225"/>
      <c r="B72" s="225"/>
      <c r="C72" s="225"/>
      <c r="D72" s="167" t="s">
        <v>382</v>
      </c>
      <c r="E72" s="153" t="s">
        <v>169</v>
      </c>
    </row>
    <row r="73" spans="1:5" ht="16" customHeight="1" x14ac:dyDescent="0.2">
      <c r="A73" s="225"/>
      <c r="B73" s="225"/>
      <c r="C73" s="225"/>
      <c r="D73" s="23" t="s">
        <v>383</v>
      </c>
      <c r="E73" s="166" t="s">
        <v>169</v>
      </c>
    </row>
    <row r="74" spans="1:5" ht="16" customHeight="1" x14ac:dyDescent="0.2">
      <c r="A74" s="225"/>
      <c r="B74" s="225"/>
      <c r="C74" s="225"/>
      <c r="D74" s="167" t="s">
        <v>384</v>
      </c>
      <c r="E74" s="153" t="s">
        <v>169</v>
      </c>
    </row>
    <row r="75" spans="1:5" ht="16" customHeight="1" x14ac:dyDescent="0.2">
      <c r="A75" s="225"/>
      <c r="B75" s="225"/>
      <c r="C75" s="225"/>
      <c r="D75" s="23" t="s">
        <v>358</v>
      </c>
      <c r="E75" s="166" t="s">
        <v>163</v>
      </c>
    </row>
    <row r="76" spans="1:5" ht="16" customHeight="1" x14ac:dyDescent="0.2">
      <c r="A76" s="225"/>
      <c r="B76" s="225"/>
      <c r="C76" s="225"/>
      <c r="D76" s="167" t="s">
        <v>361</v>
      </c>
      <c r="E76" s="153" t="s">
        <v>163</v>
      </c>
    </row>
    <row r="77" spans="1:5" ht="16" customHeight="1" x14ac:dyDescent="0.2">
      <c r="A77" s="225"/>
      <c r="B77" s="225"/>
      <c r="C77" s="225"/>
      <c r="D77" s="23" t="s">
        <v>385</v>
      </c>
      <c r="E77" s="166" t="s">
        <v>169</v>
      </c>
    </row>
    <row r="78" spans="1:5" ht="16" customHeight="1" x14ac:dyDescent="0.2">
      <c r="A78" s="225"/>
      <c r="B78" s="225"/>
      <c r="C78" s="225"/>
      <c r="D78" s="167" t="s">
        <v>386</v>
      </c>
      <c r="E78" s="153" t="s">
        <v>169</v>
      </c>
    </row>
    <row r="79" spans="1:5" ht="16" customHeight="1" x14ac:dyDescent="0.2">
      <c r="A79" s="226"/>
      <c r="B79" s="226"/>
      <c r="C79" s="226"/>
      <c r="D79" s="23" t="s">
        <v>387</v>
      </c>
      <c r="E79" s="166" t="s">
        <v>169</v>
      </c>
    </row>
    <row r="80" spans="1:5" ht="16" customHeight="1" x14ac:dyDescent="0.2">
      <c r="A80" s="233">
        <v>9</v>
      </c>
      <c r="B80" s="248" t="s">
        <v>167</v>
      </c>
      <c r="C80" s="234" t="s">
        <v>300</v>
      </c>
      <c r="D80" s="26" t="s">
        <v>388</v>
      </c>
      <c r="E80" s="168" t="s">
        <v>169</v>
      </c>
    </row>
    <row r="81" spans="1:5" ht="16" customHeight="1" x14ac:dyDescent="0.2">
      <c r="A81" s="225"/>
      <c r="B81" s="225"/>
      <c r="C81" s="225"/>
      <c r="D81" s="169" t="s">
        <v>389</v>
      </c>
      <c r="E81" s="153" t="s">
        <v>169</v>
      </c>
    </row>
    <row r="82" spans="1:5" ht="16" customHeight="1" x14ac:dyDescent="0.2">
      <c r="A82" s="225"/>
      <c r="B82" s="225"/>
      <c r="C82" s="225"/>
      <c r="D82" s="26" t="s">
        <v>390</v>
      </c>
      <c r="E82" s="168" t="s">
        <v>169</v>
      </c>
    </row>
    <row r="83" spans="1:5" ht="16" customHeight="1" x14ac:dyDescent="0.2">
      <c r="A83" s="225"/>
      <c r="B83" s="225"/>
      <c r="C83" s="225"/>
      <c r="D83" s="169" t="s">
        <v>391</v>
      </c>
      <c r="E83" s="153" t="s">
        <v>169</v>
      </c>
    </row>
    <row r="84" spans="1:5" ht="16" customHeight="1" x14ac:dyDescent="0.2">
      <c r="A84" s="225"/>
      <c r="B84" s="225"/>
      <c r="C84" s="225"/>
      <c r="D84" s="26" t="s">
        <v>392</v>
      </c>
      <c r="E84" s="168" t="s">
        <v>168</v>
      </c>
    </row>
    <row r="85" spans="1:5" ht="16" customHeight="1" x14ac:dyDescent="0.2">
      <c r="A85" s="225"/>
      <c r="B85" s="225"/>
      <c r="C85" s="225"/>
      <c r="D85" s="169" t="s">
        <v>393</v>
      </c>
      <c r="E85" s="153" t="s">
        <v>168</v>
      </c>
    </row>
    <row r="86" spans="1:5" ht="16" customHeight="1" x14ac:dyDescent="0.2">
      <c r="A86" s="225"/>
      <c r="B86" s="225"/>
      <c r="C86" s="225"/>
      <c r="D86" s="26" t="s">
        <v>394</v>
      </c>
      <c r="E86" s="168" t="s">
        <v>169</v>
      </c>
    </row>
    <row r="87" spans="1:5" ht="16" customHeight="1" x14ac:dyDescent="0.2">
      <c r="A87" s="225"/>
      <c r="B87" s="225"/>
      <c r="C87" s="225"/>
      <c r="D87" s="169" t="s">
        <v>395</v>
      </c>
      <c r="E87" s="153" t="s">
        <v>169</v>
      </c>
    </row>
    <row r="88" spans="1:5" ht="16" customHeight="1" x14ac:dyDescent="0.2">
      <c r="A88" s="225"/>
      <c r="B88" s="225"/>
      <c r="C88" s="225"/>
      <c r="D88" s="26" t="s">
        <v>396</v>
      </c>
      <c r="E88" s="168" t="s">
        <v>169</v>
      </c>
    </row>
    <row r="89" spans="1:5" ht="16" customHeight="1" x14ac:dyDescent="0.2">
      <c r="A89" s="225"/>
      <c r="B89" s="225"/>
      <c r="C89" s="225"/>
      <c r="D89" s="169" t="s">
        <v>397</v>
      </c>
      <c r="E89" s="153" t="s">
        <v>169</v>
      </c>
    </row>
    <row r="90" spans="1:5" ht="16" customHeight="1" x14ac:dyDescent="0.2">
      <c r="A90" s="225"/>
      <c r="B90" s="225"/>
      <c r="C90" s="225"/>
      <c r="D90" s="26" t="s">
        <v>378</v>
      </c>
      <c r="E90" s="168" t="s">
        <v>165</v>
      </c>
    </row>
    <row r="91" spans="1:5" ht="16" customHeight="1" x14ac:dyDescent="0.2">
      <c r="A91" s="225"/>
      <c r="B91" s="225"/>
      <c r="C91" s="225"/>
      <c r="D91" s="169" t="s">
        <v>398</v>
      </c>
      <c r="E91" s="153" t="s">
        <v>169</v>
      </c>
    </row>
    <row r="92" spans="1:5" ht="16" customHeight="1" x14ac:dyDescent="0.2">
      <c r="A92" s="226"/>
      <c r="B92" s="226"/>
      <c r="C92" s="226"/>
      <c r="D92" s="26" t="s">
        <v>399</v>
      </c>
      <c r="E92" s="168" t="s">
        <v>169</v>
      </c>
    </row>
    <row r="93" spans="1:5" ht="16" customHeight="1" x14ac:dyDescent="0.2">
      <c r="A93" s="232">
        <v>10</v>
      </c>
      <c r="B93" s="249" t="s">
        <v>168</v>
      </c>
      <c r="C93" s="250" t="s">
        <v>301</v>
      </c>
      <c r="D93" s="147" t="s">
        <v>400</v>
      </c>
      <c r="E93" s="170" t="s">
        <v>169</v>
      </c>
    </row>
    <row r="94" spans="1:5" ht="16" customHeight="1" x14ac:dyDescent="0.2">
      <c r="A94" s="225"/>
      <c r="B94" s="225"/>
      <c r="C94" s="225"/>
      <c r="D94" s="171" t="s">
        <v>401</v>
      </c>
      <c r="E94" s="153" t="s">
        <v>169</v>
      </c>
    </row>
    <row r="95" spans="1:5" ht="16" customHeight="1" x14ac:dyDescent="0.2">
      <c r="A95" s="225"/>
      <c r="B95" s="225"/>
      <c r="C95" s="225"/>
      <c r="D95" s="147" t="s">
        <v>402</v>
      </c>
      <c r="E95" s="170" t="s">
        <v>169</v>
      </c>
    </row>
    <row r="96" spans="1:5" ht="16" customHeight="1" x14ac:dyDescent="0.2">
      <c r="A96" s="225"/>
      <c r="B96" s="225"/>
      <c r="C96" s="225"/>
      <c r="D96" s="171" t="s">
        <v>403</v>
      </c>
      <c r="E96" s="153" t="s">
        <v>169</v>
      </c>
    </row>
    <row r="97" spans="1:5" ht="16" customHeight="1" x14ac:dyDescent="0.2">
      <c r="A97" s="225"/>
      <c r="B97" s="225"/>
      <c r="C97" s="225"/>
      <c r="D97" s="147" t="s">
        <v>404</v>
      </c>
      <c r="E97" s="170" t="s">
        <v>169</v>
      </c>
    </row>
    <row r="98" spans="1:5" ht="16" customHeight="1" x14ac:dyDescent="0.2">
      <c r="A98" s="225"/>
      <c r="B98" s="225"/>
      <c r="C98" s="225"/>
      <c r="D98" s="171" t="s">
        <v>405</v>
      </c>
      <c r="E98" s="153" t="s">
        <v>169</v>
      </c>
    </row>
    <row r="99" spans="1:5" ht="16" customHeight="1" x14ac:dyDescent="0.2">
      <c r="A99" s="225"/>
      <c r="B99" s="225"/>
      <c r="C99" s="225"/>
      <c r="D99" s="147" t="s">
        <v>406</v>
      </c>
      <c r="E99" s="170" t="s">
        <v>169</v>
      </c>
    </row>
    <row r="100" spans="1:5" ht="16" customHeight="1" x14ac:dyDescent="0.2">
      <c r="A100" s="225"/>
      <c r="B100" s="225"/>
      <c r="C100" s="225"/>
      <c r="D100" s="171" t="s">
        <v>407</v>
      </c>
      <c r="E100" s="153" t="s">
        <v>169</v>
      </c>
    </row>
    <row r="101" spans="1:5" ht="16" customHeight="1" x14ac:dyDescent="0.2">
      <c r="A101" s="225"/>
      <c r="B101" s="225"/>
      <c r="C101" s="225"/>
      <c r="D101" s="147" t="s">
        <v>408</v>
      </c>
      <c r="E101" s="170" t="s">
        <v>169</v>
      </c>
    </row>
    <row r="102" spans="1:5" ht="16" customHeight="1" x14ac:dyDescent="0.2">
      <c r="A102" s="225"/>
      <c r="B102" s="225"/>
      <c r="C102" s="225"/>
      <c r="D102" s="171" t="s">
        <v>409</v>
      </c>
      <c r="E102" s="153" t="s">
        <v>169</v>
      </c>
    </row>
    <row r="103" spans="1:5" ht="16" customHeight="1" x14ac:dyDescent="0.2">
      <c r="A103" s="225"/>
      <c r="B103" s="225"/>
      <c r="C103" s="225"/>
      <c r="D103" s="147" t="s">
        <v>393</v>
      </c>
      <c r="E103" s="170" t="s">
        <v>167</v>
      </c>
    </row>
    <row r="104" spans="1:5" ht="16" customHeight="1" x14ac:dyDescent="0.2">
      <c r="A104" s="226"/>
      <c r="B104" s="226"/>
      <c r="C104" s="226"/>
      <c r="D104" s="171" t="s">
        <v>392</v>
      </c>
      <c r="E104" s="153" t="s">
        <v>167</v>
      </c>
    </row>
  </sheetData>
  <mergeCells count="32">
    <mergeCell ref="A1:F1"/>
    <mergeCell ref="C58:C68"/>
    <mergeCell ref="B15:B24"/>
    <mergeCell ref="B80:B92"/>
    <mergeCell ref="B93:B104"/>
    <mergeCell ref="C93:C104"/>
    <mergeCell ref="A49:A57"/>
    <mergeCell ref="C49:C57"/>
    <mergeCell ref="A93:A104"/>
    <mergeCell ref="A80:A92"/>
    <mergeCell ref="A2:F2"/>
    <mergeCell ref="C80:C92"/>
    <mergeCell ref="A15:A24"/>
    <mergeCell ref="C15:C24"/>
    <mergeCell ref="B69:B79"/>
    <mergeCell ref="A25:A30"/>
    <mergeCell ref="C25:C30"/>
    <mergeCell ref="A38:A48"/>
    <mergeCell ref="B49:B57"/>
    <mergeCell ref="A4:A14"/>
    <mergeCell ref="B4:B14"/>
    <mergeCell ref="A58:A68"/>
    <mergeCell ref="C69:C79"/>
    <mergeCell ref="C38:C48"/>
    <mergeCell ref="C4:C14"/>
    <mergeCell ref="A69:A79"/>
    <mergeCell ref="B25:B30"/>
    <mergeCell ref="C31:C37"/>
    <mergeCell ref="B58:B68"/>
    <mergeCell ref="B38:B48"/>
    <mergeCell ref="A31:A37"/>
    <mergeCell ref="B31:B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Version</vt:lpstr>
      <vt:lpstr>Trait Dimension Theory</vt:lpstr>
      <vt:lpstr>Archetype Profiles</vt:lpstr>
      <vt:lpstr>Score Simulator</vt:lpstr>
      <vt:lpstr>Q7-Q12 Direct Weights</vt:lpstr>
      <vt:lpstr>Dal Programs by Archetype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 Hebb</cp:lastModifiedBy>
  <dcterms:created xsi:type="dcterms:W3CDTF">2026-05-25T19:52:43Z</dcterms:created>
  <dcterms:modified xsi:type="dcterms:W3CDTF">2026-05-27T13:00:09Z</dcterms:modified>
</cp:coreProperties>
</file>